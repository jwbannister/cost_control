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9" codeName="{51196F13-6AD0-C1B8-E2B4-A1F9AE17003E}"/>
  <workbookPr codeName="ThisWorkbook" autoCompressPictures="0"/>
  <mc:AlternateContent xmlns:mc="http://schemas.openxmlformats.org/markup-compatibility/2006">
    <mc:Choice Requires="x15">
      <x15ac:absPath xmlns:x15ac="http://schemas.microsoft.com/office/spreadsheetml/2010/11/ac" url="/Users/john/code/cost_control/test/"/>
    </mc:Choice>
  </mc:AlternateContent>
  <xr:revisionPtr revIDLastSave="0" documentId="13_ncr:1_{F3BC731A-3E8E-4041-94C4-6A447ADCF8FF}" xr6:coauthVersionLast="36" xr6:coauthVersionMax="44" xr10:uidLastSave="{00000000-0000-0000-0000-000000000000}"/>
  <bookViews>
    <workbookView xWindow="4400" yWindow="640" windowWidth="32300" windowHeight="19140" tabRatio="627" activeTab="6" xr2:uid="{00000000-000D-0000-FFFF-FFFF00000000}"/>
  </bookViews>
  <sheets>
    <sheet name="Task Order Setup" sheetId="1" r:id="rId1"/>
    <sheet name="Labor Hours and Deliverables" sheetId="2" r:id="rId2"/>
    <sheet name="Labor Costs" sheetId="4" r:id="rId3"/>
    <sheet name="Travel" sheetId="6" r:id="rId4"/>
    <sheet name="Expenses" sheetId="9" r:id="rId5"/>
    <sheet name="Task Order Cost Summary" sheetId="7" r:id="rId6"/>
    <sheet name="Rates" sheetId="14" r:id="rId7"/>
    <sheet name="Travel Rates" sheetId="15" r:id="rId8"/>
  </sheets>
  <definedNames>
    <definedName name="_xlnm._FilterDatabase" localSheetId="6" hidden="1">Rates!$G$9:$Z$9</definedName>
    <definedName name="AirSciences">Rates!$A$9:$A$27</definedName>
    <definedName name="AmyCoulterLLC">Rates!$C$107</definedName>
    <definedName name="AnnSihler">Rates!$A$86</definedName>
    <definedName name="AnnSihlerCo.">Rates!$A$86</definedName>
    <definedName name="AnnSihlerLLC">Rates!$A$86</definedName>
    <definedName name="Bridgewater">Rates!$A$85</definedName>
    <definedName name="CH2M">Rates!$A$28:$A$46</definedName>
    <definedName name="Company">Rates!$H$8:$H$28</definedName>
    <definedName name="Cordoba">Rates!$A$47:$A$58</definedName>
    <definedName name="FarWestern">Rates!$A$97:$A$101</definedName>
    <definedName name="GSI">Rates!$A$102:$A$106</definedName>
    <definedName name="KenneyGeoscience">Rates!$A$87</definedName>
    <definedName name="LandIQ">Rates!$A$59:$A$80</definedName>
    <definedName name="M2Resources">Rates!$A$96</definedName>
    <definedName name="NicklingEnvironmental">Rates!$A$88:$A$90</definedName>
    <definedName name="NUVIS">Rates!$A$91:$A$92</definedName>
    <definedName name="Origination">'Travel Rates'!$A$12:$A$18</definedName>
    <definedName name="_xlnm.Print_Area" localSheetId="4">Expenses!$A$1:$G$137</definedName>
    <definedName name="_xlnm.Print_Area" localSheetId="2">'Labor Costs'!$A$1:$X$30</definedName>
    <definedName name="_xlnm.Print_Area" localSheetId="1">'Labor Hours and Deliverables'!$A$1:$P$91</definedName>
    <definedName name="_xlnm.Print_Area" localSheetId="5">'Task Order Cost Summary'!$B$1:$K$24</definedName>
    <definedName name="_xlnm.Print_Area" localSheetId="0">'Task Order Setup'!$B$1:$C$16</definedName>
    <definedName name="_xlnm.Print_Area" localSheetId="3">Travel!$A$1:$V$96</definedName>
    <definedName name="_xlnm.Print_Titles" localSheetId="1">'Labor Hours and Deliverables'!$1:$9</definedName>
    <definedName name="_xlnm.Print_Titles" localSheetId="6">Rates!$5:$7</definedName>
    <definedName name="Provenience">Rates!$A$81:$A$84</definedName>
    <definedName name="Towill">Rates!$A$108:$A$120</definedName>
    <definedName name="UnivOfCalifornia">Rates!$A$124</definedName>
    <definedName name="UnivOfUtah">Rates!$A$121</definedName>
    <definedName name="Unspecified">Rates!$A$8</definedName>
    <definedName name="Yellobee">Rates!$A$93:$A$95</definedName>
    <definedName name="ZephyrUSA">Rates!$A$122:$A$123</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19" i="2" l="1"/>
  <c r="C10" i="2" l="1"/>
  <c r="R91" i="6" l="1"/>
  <c r="R90" i="6"/>
  <c r="R89" i="6"/>
  <c r="R88" i="6"/>
  <c r="R87" i="6"/>
  <c r="R83" i="6"/>
  <c r="R82" i="6"/>
  <c r="R81" i="6"/>
  <c r="R80" i="6"/>
  <c r="R79" i="6"/>
  <c r="R84" i="6" s="1"/>
  <c r="R75" i="6"/>
  <c r="R74" i="6"/>
  <c r="R73" i="6"/>
  <c r="R72" i="6"/>
  <c r="R71" i="6"/>
  <c r="R67" i="6"/>
  <c r="R66" i="6"/>
  <c r="R65" i="6"/>
  <c r="R64" i="6"/>
  <c r="R63" i="6"/>
  <c r="R59" i="6"/>
  <c r="R58" i="6"/>
  <c r="R57" i="6"/>
  <c r="R56" i="6"/>
  <c r="R60" i="6" s="1"/>
  <c r="R55" i="6"/>
  <c r="R51" i="6"/>
  <c r="R50" i="6"/>
  <c r="R49" i="6"/>
  <c r="R48" i="6"/>
  <c r="R47" i="6"/>
  <c r="R43" i="6"/>
  <c r="R42" i="6"/>
  <c r="R41" i="6"/>
  <c r="R40" i="6"/>
  <c r="R39" i="6"/>
  <c r="R35" i="6"/>
  <c r="R34" i="6"/>
  <c r="R33" i="6"/>
  <c r="R32" i="6"/>
  <c r="R31" i="6"/>
  <c r="C24" i="4"/>
  <c r="C25" i="4"/>
  <c r="C26" i="4"/>
  <c r="C27" i="4"/>
  <c r="C28" i="4"/>
  <c r="C29" i="4"/>
  <c r="N15" i="6"/>
  <c r="D7" i="14"/>
  <c r="R36" i="6" l="1"/>
  <c r="R44" i="6"/>
  <c r="R92" i="6"/>
  <c r="R52" i="6"/>
  <c r="R68" i="6"/>
  <c r="R76" i="6"/>
  <c r="B3" i="7" l="1"/>
  <c r="B2" i="2"/>
  <c r="B3" i="2"/>
  <c r="B1" i="4"/>
  <c r="B2" i="4"/>
  <c r="B3" i="4"/>
  <c r="B1" i="6"/>
  <c r="B2" i="6"/>
  <c r="B3" i="6"/>
  <c r="B1" i="9"/>
  <c r="B2" i="9"/>
  <c r="B3" i="9"/>
  <c r="B29" i="4" l="1"/>
  <c r="A29" i="4"/>
  <c r="B28" i="4"/>
  <c r="A28" i="4"/>
  <c r="B27" i="4"/>
  <c r="A27" i="4"/>
  <c r="B26" i="4"/>
  <c r="A26" i="4"/>
  <c r="B25" i="4"/>
  <c r="A25" i="4"/>
  <c r="B24" i="4"/>
  <c r="A24" i="4"/>
  <c r="B23" i="4"/>
  <c r="A23" i="4"/>
  <c r="C23" i="4" s="1"/>
  <c r="B22" i="4"/>
  <c r="A22" i="4"/>
  <c r="C22" i="4" s="1"/>
  <c r="B21" i="4"/>
  <c r="A21" i="4"/>
  <c r="C21" i="4" s="1"/>
  <c r="B20" i="4"/>
  <c r="A20" i="4"/>
  <c r="C20" i="4" s="1"/>
  <c r="B19" i="4"/>
  <c r="A19" i="4"/>
  <c r="C19" i="4" s="1"/>
  <c r="H132" i="9"/>
  <c r="H131" i="9"/>
  <c r="H130" i="9"/>
  <c r="H129" i="9"/>
  <c r="H128" i="9"/>
  <c r="H127" i="9"/>
  <c r="H126" i="9"/>
  <c r="H125" i="9"/>
  <c r="H124" i="9"/>
  <c r="H123" i="9"/>
  <c r="H119" i="9"/>
  <c r="H118" i="9"/>
  <c r="H117" i="9"/>
  <c r="H116" i="9"/>
  <c r="H115" i="9"/>
  <c r="H114" i="9"/>
  <c r="H113" i="9"/>
  <c r="H112" i="9"/>
  <c r="H111" i="9"/>
  <c r="H110" i="9"/>
  <c r="H106" i="9"/>
  <c r="H105" i="9"/>
  <c r="H104" i="9"/>
  <c r="H103" i="9"/>
  <c r="H102" i="9"/>
  <c r="H101" i="9"/>
  <c r="H100" i="9"/>
  <c r="H99" i="9"/>
  <c r="H98" i="9"/>
  <c r="H97" i="9"/>
  <c r="H93" i="9"/>
  <c r="H92" i="9"/>
  <c r="H91" i="9"/>
  <c r="H90" i="9"/>
  <c r="H89" i="9"/>
  <c r="H88" i="9"/>
  <c r="H87" i="9"/>
  <c r="H86" i="9"/>
  <c r="H85" i="9"/>
  <c r="H84" i="9"/>
  <c r="H80" i="9"/>
  <c r="H79" i="9"/>
  <c r="H78" i="9"/>
  <c r="H77" i="9"/>
  <c r="H76" i="9"/>
  <c r="H75" i="9"/>
  <c r="H74" i="9"/>
  <c r="H73" i="9"/>
  <c r="H72" i="9"/>
  <c r="H71" i="9"/>
  <c r="H67" i="9"/>
  <c r="H66" i="9"/>
  <c r="H65" i="9"/>
  <c r="H64" i="9"/>
  <c r="H63" i="9"/>
  <c r="H62" i="9"/>
  <c r="H61" i="9"/>
  <c r="H60" i="9"/>
  <c r="H59" i="9"/>
  <c r="H58" i="9"/>
  <c r="H54" i="9"/>
  <c r="H53" i="9"/>
  <c r="H52" i="9"/>
  <c r="H51" i="9"/>
  <c r="H50" i="9"/>
  <c r="H49" i="9"/>
  <c r="H48" i="9"/>
  <c r="H47" i="9"/>
  <c r="H46" i="9"/>
  <c r="H45" i="9"/>
  <c r="H41" i="9"/>
  <c r="H40" i="9"/>
  <c r="H39" i="9"/>
  <c r="H38" i="9"/>
  <c r="H37" i="9"/>
  <c r="H36" i="9"/>
  <c r="H35" i="9"/>
  <c r="H34" i="9"/>
  <c r="H33" i="9"/>
  <c r="H32" i="9"/>
  <c r="H28" i="9"/>
  <c r="H27" i="9"/>
  <c r="H26" i="9"/>
  <c r="H25" i="9"/>
  <c r="H24" i="9"/>
  <c r="H23" i="9"/>
  <c r="H22" i="9"/>
  <c r="H21" i="9"/>
  <c r="H20" i="9"/>
  <c r="H19" i="9"/>
  <c r="D22" i="4" l="1"/>
  <c r="D20" i="4"/>
  <c r="D21" i="4"/>
  <c r="F89" i="2"/>
  <c r="F80" i="2"/>
  <c r="F71" i="2"/>
  <c r="F62" i="2"/>
  <c r="F53" i="2"/>
  <c r="F44" i="2"/>
  <c r="F35" i="2"/>
  <c r="F26" i="2"/>
  <c r="F17" i="2"/>
  <c r="G89" i="2"/>
  <c r="G80" i="2"/>
  <c r="G71" i="2"/>
  <c r="G62" i="2"/>
  <c r="G53" i="2"/>
  <c r="G44" i="2"/>
  <c r="G35" i="2"/>
  <c r="G26" i="2"/>
  <c r="G17" i="2"/>
  <c r="G9" i="2"/>
  <c r="H89" i="2"/>
  <c r="H80" i="2"/>
  <c r="H71" i="2"/>
  <c r="H62" i="2"/>
  <c r="H53" i="2"/>
  <c r="H44" i="2"/>
  <c r="H35" i="2"/>
  <c r="H26" i="2"/>
  <c r="H17" i="2"/>
  <c r="H9" i="2"/>
  <c r="I89" i="2"/>
  <c r="I80" i="2"/>
  <c r="I71" i="2"/>
  <c r="I62" i="2"/>
  <c r="I53" i="2"/>
  <c r="I44" i="2"/>
  <c r="I35" i="2"/>
  <c r="I26" i="2"/>
  <c r="I17" i="2"/>
  <c r="I9" i="2"/>
  <c r="C34" i="6" l="1"/>
  <c r="C33" i="6"/>
  <c r="C32" i="6"/>
  <c r="C31" i="6"/>
  <c r="A7" i="1"/>
  <c r="C17" i="2"/>
  <c r="B1" i="14"/>
  <c r="B2" i="14"/>
  <c r="B3" i="14"/>
  <c r="A8" i="1"/>
  <c r="C26" i="2"/>
  <c r="A9" i="1"/>
  <c r="C35" i="2"/>
  <c r="A10" i="1"/>
  <c r="C44" i="2"/>
  <c r="A11" i="1"/>
  <c r="C53" i="2"/>
  <c r="A12" i="1"/>
  <c r="C62" i="2"/>
  <c r="A13" i="1"/>
  <c r="C71" i="2"/>
  <c r="A14" i="1"/>
  <c r="C80" i="2"/>
  <c r="A15" i="1"/>
  <c r="C89" i="2"/>
  <c r="M10" i="7"/>
  <c r="C23" i="6"/>
  <c r="C24" i="6"/>
  <c r="C25" i="6"/>
  <c r="C26" i="6"/>
  <c r="C27" i="6"/>
  <c r="C35" i="6"/>
  <c r="C39" i="6"/>
  <c r="C40" i="6"/>
  <c r="C41" i="6"/>
  <c r="C42" i="6"/>
  <c r="C43" i="6"/>
  <c r="C47" i="6"/>
  <c r="C48" i="6"/>
  <c r="C49" i="6"/>
  <c r="C50" i="6"/>
  <c r="C51" i="6"/>
  <c r="C55" i="6"/>
  <c r="C56" i="6"/>
  <c r="C57" i="6"/>
  <c r="C58" i="6"/>
  <c r="C59" i="6"/>
  <c r="C63" i="6"/>
  <c r="C64" i="6"/>
  <c r="C65" i="6"/>
  <c r="C66" i="6"/>
  <c r="C67" i="6"/>
  <c r="C71" i="6"/>
  <c r="C72" i="6"/>
  <c r="C73" i="6"/>
  <c r="C74" i="6"/>
  <c r="C75" i="6"/>
  <c r="C79" i="6"/>
  <c r="C80" i="6"/>
  <c r="C81" i="6"/>
  <c r="C82" i="6"/>
  <c r="C83" i="6"/>
  <c r="C87" i="6"/>
  <c r="C88" i="6"/>
  <c r="C89" i="6"/>
  <c r="C90" i="6"/>
  <c r="C91" i="6"/>
  <c r="C19" i="9"/>
  <c r="C20" i="9"/>
  <c r="C21" i="9"/>
  <c r="C22" i="9"/>
  <c r="C23" i="9"/>
  <c r="C24" i="9"/>
  <c r="C25" i="9"/>
  <c r="C26" i="9"/>
  <c r="C27" i="9"/>
  <c r="C28" i="9"/>
  <c r="C32" i="9"/>
  <c r="C33" i="9"/>
  <c r="C34" i="9"/>
  <c r="C35" i="9"/>
  <c r="C36" i="9"/>
  <c r="C37" i="9"/>
  <c r="C38" i="9"/>
  <c r="C39" i="9"/>
  <c r="C40" i="9"/>
  <c r="C41" i="9"/>
  <c r="C45" i="9"/>
  <c r="C46" i="9"/>
  <c r="C47" i="9"/>
  <c r="C48" i="9"/>
  <c r="C49" i="9"/>
  <c r="C50" i="9"/>
  <c r="C51" i="9"/>
  <c r="C52" i="9"/>
  <c r="C53" i="9"/>
  <c r="C54" i="9"/>
  <c r="C58" i="9"/>
  <c r="C59" i="9"/>
  <c r="C60" i="9"/>
  <c r="C61" i="9"/>
  <c r="C62" i="9"/>
  <c r="C63" i="9"/>
  <c r="C64" i="9"/>
  <c r="C65" i="9"/>
  <c r="C66" i="9"/>
  <c r="C67" i="9"/>
  <c r="C71" i="9"/>
  <c r="C72" i="9"/>
  <c r="C73" i="9"/>
  <c r="C74" i="9"/>
  <c r="C75" i="9"/>
  <c r="C76" i="9"/>
  <c r="C77" i="9"/>
  <c r="C78" i="9"/>
  <c r="C79" i="9"/>
  <c r="C80" i="9"/>
  <c r="C84" i="9"/>
  <c r="C85" i="9"/>
  <c r="C86" i="9"/>
  <c r="C87" i="9"/>
  <c r="C88" i="9"/>
  <c r="C89" i="9"/>
  <c r="C90" i="9"/>
  <c r="C91" i="9"/>
  <c r="C92" i="9"/>
  <c r="C93" i="9"/>
  <c r="C97" i="9"/>
  <c r="C98" i="9"/>
  <c r="C99" i="9"/>
  <c r="C100" i="9"/>
  <c r="C101" i="9"/>
  <c r="C102" i="9"/>
  <c r="C103" i="9"/>
  <c r="C104" i="9"/>
  <c r="C105" i="9"/>
  <c r="C106" i="9"/>
  <c r="C110" i="9"/>
  <c r="C111" i="9"/>
  <c r="C112" i="9"/>
  <c r="C113" i="9"/>
  <c r="C114" i="9"/>
  <c r="C115" i="9"/>
  <c r="C116" i="9"/>
  <c r="C117" i="9"/>
  <c r="C118" i="9"/>
  <c r="C119" i="9"/>
  <c r="C123" i="9"/>
  <c r="C124" i="9"/>
  <c r="C125" i="9"/>
  <c r="C126" i="9"/>
  <c r="C127" i="9"/>
  <c r="C128" i="9"/>
  <c r="C129" i="9"/>
  <c r="C130" i="9"/>
  <c r="C131" i="9"/>
  <c r="C132" i="9"/>
  <c r="W20" i="6"/>
  <c r="W21" i="6"/>
  <c r="W22" i="6"/>
  <c r="W23" i="6"/>
  <c r="L23" i="6"/>
  <c r="P23" i="6" s="1"/>
  <c r="M23" i="6"/>
  <c r="Q23" i="6" s="1"/>
  <c r="R23" i="6"/>
  <c r="N23" i="6"/>
  <c r="S23" i="6" s="1"/>
  <c r="O15" i="6"/>
  <c r="O24" i="6" s="1"/>
  <c r="T24" i="6" s="1"/>
  <c r="L24" i="6"/>
  <c r="P24" i="6" s="1"/>
  <c r="M24" i="6"/>
  <c r="Q24" i="6" s="1"/>
  <c r="R24" i="6"/>
  <c r="N24" i="6"/>
  <c r="S24" i="6" s="1"/>
  <c r="L25" i="6"/>
  <c r="P25" i="6" s="1"/>
  <c r="M25" i="6"/>
  <c r="Q25" i="6" s="1"/>
  <c r="R25" i="6"/>
  <c r="N25" i="6"/>
  <c r="S25" i="6" s="1"/>
  <c r="L26" i="6"/>
  <c r="P26" i="6" s="1"/>
  <c r="M26" i="6"/>
  <c r="Q26" i="6" s="1"/>
  <c r="R26" i="6"/>
  <c r="N26" i="6"/>
  <c r="S26" i="6" s="1"/>
  <c r="L27" i="6"/>
  <c r="P27" i="6" s="1"/>
  <c r="M27" i="6"/>
  <c r="Q27" i="6" s="1"/>
  <c r="R27" i="6"/>
  <c r="N27" i="6"/>
  <c r="S27" i="6" s="1"/>
  <c r="L31" i="6"/>
  <c r="P31" i="6" s="1"/>
  <c r="M31" i="6"/>
  <c r="Q31" i="6" s="1"/>
  <c r="N31" i="6"/>
  <c r="S31" i="6" s="1"/>
  <c r="L32" i="6"/>
  <c r="P32" i="6" s="1"/>
  <c r="M32" i="6"/>
  <c r="Q32" i="6" s="1"/>
  <c r="N32" i="6"/>
  <c r="S32" i="6" s="1"/>
  <c r="L33" i="6"/>
  <c r="P33" i="6" s="1"/>
  <c r="M33" i="6"/>
  <c r="Q33" i="6" s="1"/>
  <c r="N33" i="6"/>
  <c r="S33" i="6" s="1"/>
  <c r="L34" i="6"/>
  <c r="P34" i="6" s="1"/>
  <c r="M34" i="6"/>
  <c r="Q34" i="6" s="1"/>
  <c r="N34" i="6"/>
  <c r="S34" i="6" s="1"/>
  <c r="L35" i="6"/>
  <c r="P35" i="6" s="1"/>
  <c r="M35" i="6"/>
  <c r="Q35" i="6" s="1"/>
  <c r="N35" i="6"/>
  <c r="S35" i="6" s="1"/>
  <c r="L39" i="6"/>
  <c r="P39" i="6" s="1"/>
  <c r="M39" i="6"/>
  <c r="Q39" i="6" s="1"/>
  <c r="N39" i="6"/>
  <c r="S39" i="6" s="1"/>
  <c r="L40" i="6"/>
  <c r="P40" i="6" s="1"/>
  <c r="M40" i="6"/>
  <c r="Q40" i="6" s="1"/>
  <c r="N40" i="6"/>
  <c r="S40" i="6" s="1"/>
  <c r="L41" i="6"/>
  <c r="P41" i="6" s="1"/>
  <c r="M41" i="6"/>
  <c r="Q41" i="6" s="1"/>
  <c r="N41" i="6"/>
  <c r="S41" i="6" s="1"/>
  <c r="L42" i="6"/>
  <c r="P42" i="6" s="1"/>
  <c r="M42" i="6"/>
  <c r="Q42" i="6" s="1"/>
  <c r="N42" i="6"/>
  <c r="S42" i="6" s="1"/>
  <c r="L43" i="6"/>
  <c r="P43" i="6" s="1"/>
  <c r="M43" i="6"/>
  <c r="Q43" i="6" s="1"/>
  <c r="N43" i="6"/>
  <c r="S43" i="6" s="1"/>
  <c r="L47" i="6"/>
  <c r="P47" i="6" s="1"/>
  <c r="M47" i="6"/>
  <c r="Q47" i="6" s="1"/>
  <c r="N47" i="6"/>
  <c r="S47" i="6" s="1"/>
  <c r="L48" i="6"/>
  <c r="P48" i="6" s="1"/>
  <c r="M48" i="6"/>
  <c r="Q48" i="6" s="1"/>
  <c r="N48" i="6"/>
  <c r="S48" i="6" s="1"/>
  <c r="L49" i="6"/>
  <c r="P49" i="6" s="1"/>
  <c r="M49" i="6"/>
  <c r="Q49" i="6" s="1"/>
  <c r="N49" i="6"/>
  <c r="S49" i="6" s="1"/>
  <c r="L50" i="6"/>
  <c r="P50" i="6" s="1"/>
  <c r="M50" i="6"/>
  <c r="Q50" i="6" s="1"/>
  <c r="N50" i="6"/>
  <c r="S50" i="6" s="1"/>
  <c r="L51" i="6"/>
  <c r="P51" i="6" s="1"/>
  <c r="M51" i="6"/>
  <c r="Q51" i="6" s="1"/>
  <c r="N51" i="6"/>
  <c r="S51" i="6" s="1"/>
  <c r="L55" i="6"/>
  <c r="P55" i="6" s="1"/>
  <c r="M55" i="6"/>
  <c r="Q55" i="6" s="1"/>
  <c r="N55" i="6"/>
  <c r="S55" i="6" s="1"/>
  <c r="O55" i="6"/>
  <c r="T55" i="6" s="1"/>
  <c r="L56" i="6"/>
  <c r="P56" i="6" s="1"/>
  <c r="M56" i="6"/>
  <c r="Q56" i="6" s="1"/>
  <c r="N56" i="6"/>
  <c r="S56" i="6" s="1"/>
  <c r="L57" i="6"/>
  <c r="P57" i="6" s="1"/>
  <c r="M57" i="6"/>
  <c r="Q57" i="6" s="1"/>
  <c r="N57" i="6"/>
  <c r="S57" i="6" s="1"/>
  <c r="O57" i="6"/>
  <c r="T57" i="6" s="1"/>
  <c r="L58" i="6"/>
  <c r="P58" i="6" s="1"/>
  <c r="M58" i="6"/>
  <c r="Q58" i="6" s="1"/>
  <c r="N58" i="6"/>
  <c r="S58" i="6" s="1"/>
  <c r="L59" i="6"/>
  <c r="P59" i="6" s="1"/>
  <c r="M59" i="6"/>
  <c r="Q59" i="6" s="1"/>
  <c r="N59" i="6"/>
  <c r="S59" i="6" s="1"/>
  <c r="L63" i="6"/>
  <c r="P63" i="6" s="1"/>
  <c r="M63" i="6"/>
  <c r="Q63" i="6" s="1"/>
  <c r="N63" i="6"/>
  <c r="S63" i="6" s="1"/>
  <c r="O63" i="6"/>
  <c r="T63" i="6" s="1"/>
  <c r="L64" i="6"/>
  <c r="P64" i="6" s="1"/>
  <c r="M64" i="6"/>
  <c r="Q64" i="6" s="1"/>
  <c r="N64" i="6"/>
  <c r="S64" i="6" s="1"/>
  <c r="L65" i="6"/>
  <c r="P65" i="6" s="1"/>
  <c r="U65" i="6" s="1"/>
  <c r="M65" i="6"/>
  <c r="Q65" i="6" s="1"/>
  <c r="N65" i="6"/>
  <c r="S65" i="6" s="1"/>
  <c r="O65" i="6"/>
  <c r="T65" i="6" s="1"/>
  <c r="L66" i="6"/>
  <c r="P66" i="6" s="1"/>
  <c r="M66" i="6"/>
  <c r="Q66" i="6" s="1"/>
  <c r="N66" i="6"/>
  <c r="S66" i="6" s="1"/>
  <c r="L67" i="6"/>
  <c r="P67" i="6" s="1"/>
  <c r="M67" i="6"/>
  <c r="Q67" i="6" s="1"/>
  <c r="N67" i="6"/>
  <c r="S67" i="6" s="1"/>
  <c r="L71" i="6"/>
  <c r="P71" i="6" s="1"/>
  <c r="M71" i="6"/>
  <c r="Q71" i="6" s="1"/>
  <c r="N71" i="6"/>
  <c r="S71" i="6" s="1"/>
  <c r="L72" i="6"/>
  <c r="P72" i="6" s="1"/>
  <c r="M72" i="6"/>
  <c r="Q72" i="6" s="1"/>
  <c r="N72" i="6"/>
  <c r="S72" i="6" s="1"/>
  <c r="O72" i="6"/>
  <c r="T72" i="6" s="1"/>
  <c r="L73" i="6"/>
  <c r="P73" i="6" s="1"/>
  <c r="M73" i="6"/>
  <c r="Q73" i="6" s="1"/>
  <c r="N73" i="6"/>
  <c r="S73" i="6" s="1"/>
  <c r="O73" i="6"/>
  <c r="T73" i="6" s="1"/>
  <c r="L74" i="6"/>
  <c r="P74" i="6" s="1"/>
  <c r="M74" i="6"/>
  <c r="Q74" i="6" s="1"/>
  <c r="N74" i="6"/>
  <c r="S74" i="6" s="1"/>
  <c r="L75" i="6"/>
  <c r="P75" i="6" s="1"/>
  <c r="M75" i="6"/>
  <c r="Q75" i="6" s="1"/>
  <c r="N75" i="6"/>
  <c r="S75" i="6" s="1"/>
  <c r="L79" i="6"/>
  <c r="P79" i="6" s="1"/>
  <c r="M79" i="6"/>
  <c r="Q79" i="6" s="1"/>
  <c r="N79" i="6"/>
  <c r="S79" i="6" s="1"/>
  <c r="L80" i="6"/>
  <c r="P80" i="6" s="1"/>
  <c r="M80" i="6"/>
  <c r="Q80" i="6" s="1"/>
  <c r="N80" i="6"/>
  <c r="S80" i="6" s="1"/>
  <c r="O80" i="6"/>
  <c r="T80" i="6" s="1"/>
  <c r="L81" i="6"/>
  <c r="P81" i="6" s="1"/>
  <c r="M81" i="6"/>
  <c r="Q81" i="6" s="1"/>
  <c r="N81" i="6"/>
  <c r="S81" i="6" s="1"/>
  <c r="O81" i="6"/>
  <c r="T81" i="6" s="1"/>
  <c r="L82" i="6"/>
  <c r="P82" i="6" s="1"/>
  <c r="M82" i="6"/>
  <c r="Q82" i="6" s="1"/>
  <c r="N82" i="6"/>
  <c r="S82" i="6" s="1"/>
  <c r="L83" i="6"/>
  <c r="P83" i="6" s="1"/>
  <c r="M83" i="6"/>
  <c r="Q83" i="6" s="1"/>
  <c r="N83" i="6"/>
  <c r="S83" i="6" s="1"/>
  <c r="O83" i="6"/>
  <c r="T83" i="6" s="1"/>
  <c r="U83" i="6" s="1"/>
  <c r="L87" i="6"/>
  <c r="P87" i="6" s="1"/>
  <c r="M87" i="6"/>
  <c r="Q87" i="6" s="1"/>
  <c r="N87" i="6"/>
  <c r="S87" i="6" s="1"/>
  <c r="O87" i="6"/>
  <c r="T87" i="6" s="1"/>
  <c r="L88" i="6"/>
  <c r="P88" i="6" s="1"/>
  <c r="M88" i="6"/>
  <c r="Q88" i="6" s="1"/>
  <c r="N88" i="6"/>
  <c r="S88" i="6" s="1"/>
  <c r="S92" i="6" s="1"/>
  <c r="L89" i="6"/>
  <c r="P89" i="6" s="1"/>
  <c r="M89" i="6"/>
  <c r="Q89" i="6" s="1"/>
  <c r="N89" i="6"/>
  <c r="S89" i="6" s="1"/>
  <c r="L90" i="6"/>
  <c r="P90" i="6" s="1"/>
  <c r="M90" i="6"/>
  <c r="Q90" i="6" s="1"/>
  <c r="N90" i="6"/>
  <c r="S90" i="6" s="1"/>
  <c r="O90" i="6"/>
  <c r="T90" i="6" s="1"/>
  <c r="L91" i="6"/>
  <c r="P91" i="6" s="1"/>
  <c r="M91" i="6"/>
  <c r="Q91" i="6" s="1"/>
  <c r="N91" i="6"/>
  <c r="S91" i="6" s="1"/>
  <c r="A36" i="6"/>
  <c r="A44" i="6"/>
  <c r="A52" i="6"/>
  <c r="W52" i="6" s="1"/>
  <c r="A60" i="6"/>
  <c r="A68" i="6"/>
  <c r="W68" i="6" s="1"/>
  <c r="A76" i="6"/>
  <c r="W76" i="6" s="1"/>
  <c r="A84" i="6"/>
  <c r="W84" i="6" s="1"/>
  <c r="A92" i="6"/>
  <c r="W92" i="6" s="1"/>
  <c r="R21"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3" i="6"/>
  <c r="W54" i="6"/>
  <c r="W55" i="6"/>
  <c r="W56" i="6"/>
  <c r="W57" i="6"/>
  <c r="W58" i="6"/>
  <c r="W59" i="6"/>
  <c r="W60" i="6"/>
  <c r="W61" i="6"/>
  <c r="W62" i="6"/>
  <c r="W63" i="6"/>
  <c r="W64" i="6"/>
  <c r="W65" i="6"/>
  <c r="W66" i="6"/>
  <c r="W67" i="6"/>
  <c r="W69" i="6"/>
  <c r="W70" i="6"/>
  <c r="W71" i="6"/>
  <c r="W72" i="6"/>
  <c r="W73" i="6"/>
  <c r="W74" i="6"/>
  <c r="W75" i="6"/>
  <c r="W77" i="6"/>
  <c r="W78" i="6"/>
  <c r="W79" i="6"/>
  <c r="W80" i="6"/>
  <c r="W81" i="6"/>
  <c r="W82" i="6"/>
  <c r="W83" i="6"/>
  <c r="W85" i="6"/>
  <c r="W86" i="6"/>
  <c r="W87" i="6"/>
  <c r="W88" i="6"/>
  <c r="W89" i="6"/>
  <c r="W90" i="6"/>
  <c r="W91"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D28" i="6"/>
  <c r="D36" i="6"/>
  <c r="B30" i="6" s="1"/>
  <c r="D44" i="6"/>
  <c r="B38" i="6" s="1"/>
  <c r="D52" i="6"/>
  <c r="D60" i="6"/>
  <c r="D68" i="6"/>
  <c r="D76" i="6"/>
  <c r="D84" i="6"/>
  <c r="B78" i="6" s="1"/>
  <c r="D92" i="6"/>
  <c r="B86" i="6" s="1"/>
  <c r="G19" i="9"/>
  <c r="G20" i="9"/>
  <c r="G21" i="9"/>
  <c r="G22" i="9"/>
  <c r="G23" i="9"/>
  <c r="G24" i="9"/>
  <c r="G25" i="9"/>
  <c r="G26" i="9"/>
  <c r="G27" i="9"/>
  <c r="G28" i="9"/>
  <c r="G32" i="9"/>
  <c r="G33" i="9"/>
  <c r="G34" i="9"/>
  <c r="G35" i="9"/>
  <c r="G36" i="9"/>
  <c r="G37" i="9"/>
  <c r="G38" i="9"/>
  <c r="G39" i="9"/>
  <c r="G40" i="9"/>
  <c r="G41" i="9"/>
  <c r="G45" i="9"/>
  <c r="G46" i="9"/>
  <c r="G47" i="9"/>
  <c r="G48" i="9"/>
  <c r="G49" i="9"/>
  <c r="G50" i="9"/>
  <c r="G51" i="9"/>
  <c r="G52" i="9"/>
  <c r="G53" i="9"/>
  <c r="G54" i="9"/>
  <c r="G58" i="9"/>
  <c r="G59" i="9"/>
  <c r="G60" i="9"/>
  <c r="G61" i="9"/>
  <c r="G62" i="9"/>
  <c r="G63" i="9"/>
  <c r="G64" i="9"/>
  <c r="G65" i="9"/>
  <c r="G66" i="9"/>
  <c r="G67" i="9"/>
  <c r="G71" i="9"/>
  <c r="G72" i="9"/>
  <c r="G73" i="9"/>
  <c r="G74" i="9"/>
  <c r="G75" i="9"/>
  <c r="G76" i="9"/>
  <c r="G77" i="9"/>
  <c r="G78" i="9"/>
  <c r="G79" i="9"/>
  <c r="G80" i="9"/>
  <c r="G84" i="9"/>
  <c r="G85" i="9"/>
  <c r="G86" i="9"/>
  <c r="G87" i="9"/>
  <c r="G88" i="9"/>
  <c r="G89" i="9"/>
  <c r="G90" i="9"/>
  <c r="G91" i="9"/>
  <c r="G92" i="9"/>
  <c r="G93" i="9"/>
  <c r="G97" i="9"/>
  <c r="G98" i="9"/>
  <c r="G99" i="9"/>
  <c r="G100" i="9"/>
  <c r="G101" i="9"/>
  <c r="G102" i="9"/>
  <c r="G103" i="9"/>
  <c r="G104" i="9"/>
  <c r="G105" i="9"/>
  <c r="G106" i="9"/>
  <c r="G110" i="9"/>
  <c r="G111" i="9"/>
  <c r="G112" i="9"/>
  <c r="G113" i="9"/>
  <c r="G114" i="9"/>
  <c r="G115" i="9"/>
  <c r="G116" i="9"/>
  <c r="G117" i="9"/>
  <c r="G118" i="9"/>
  <c r="G119" i="9"/>
  <c r="G123" i="9"/>
  <c r="G124" i="9"/>
  <c r="G125" i="9"/>
  <c r="G126" i="9"/>
  <c r="G127" i="9"/>
  <c r="G128" i="9"/>
  <c r="G129" i="9"/>
  <c r="G130" i="9"/>
  <c r="G131" i="9"/>
  <c r="G132" i="9"/>
  <c r="H18" i="9"/>
  <c r="H29" i="9"/>
  <c r="H30" i="9"/>
  <c r="H31" i="9"/>
  <c r="H42" i="9"/>
  <c r="H43" i="9"/>
  <c r="H44" i="9"/>
  <c r="H55" i="9"/>
  <c r="H56" i="9"/>
  <c r="H57" i="9"/>
  <c r="H68" i="9"/>
  <c r="H69" i="9"/>
  <c r="H70" i="9"/>
  <c r="H81" i="9"/>
  <c r="H82" i="9"/>
  <c r="H83" i="9"/>
  <c r="H94" i="9"/>
  <c r="H95" i="9"/>
  <c r="H96" i="9"/>
  <c r="H107" i="9"/>
  <c r="H108" i="9"/>
  <c r="H109" i="9"/>
  <c r="H120" i="9"/>
  <c r="H121" i="9"/>
  <c r="H122" i="9"/>
  <c r="H133" i="9"/>
  <c r="H134" i="9"/>
  <c r="H135" i="9"/>
  <c r="D29" i="9"/>
  <c r="D42" i="9"/>
  <c r="B31" i="9" s="1"/>
  <c r="D55" i="9"/>
  <c r="D68" i="9"/>
  <c r="D81" i="9"/>
  <c r="B70" i="9" s="1"/>
  <c r="D94" i="9"/>
  <c r="D107" i="9"/>
  <c r="D120" i="9"/>
  <c r="D133" i="9"/>
  <c r="B122" i="9" s="1"/>
  <c r="B4" i="7"/>
  <c r="B5" i="7"/>
  <c r="M11" i="7"/>
  <c r="M12" i="7"/>
  <c r="M13" i="7"/>
  <c r="M14" i="7"/>
  <c r="M15" i="7"/>
  <c r="M16" i="7"/>
  <c r="M17" i="7"/>
  <c r="M9" i="7"/>
  <c r="A9" i="7"/>
  <c r="A10" i="7"/>
  <c r="A11" i="7"/>
  <c r="C11" i="7" s="1"/>
  <c r="A12" i="7"/>
  <c r="A13" i="7"/>
  <c r="A14" i="7"/>
  <c r="A15" i="7"/>
  <c r="C15" i="7" s="1"/>
  <c r="A16" i="7"/>
  <c r="A17" i="7"/>
  <c r="M35" i="2"/>
  <c r="M26" i="2"/>
  <c r="K84" i="6"/>
  <c r="J84" i="6"/>
  <c r="I84" i="6"/>
  <c r="H84" i="6"/>
  <c r="G84" i="6"/>
  <c r="P80" i="2"/>
  <c r="O80" i="2"/>
  <c r="N80" i="2"/>
  <c r="M80" i="2"/>
  <c r="L80" i="2"/>
  <c r="K80" i="2"/>
  <c r="J80" i="2"/>
  <c r="E74" i="2"/>
  <c r="E75" i="2"/>
  <c r="E76" i="2"/>
  <c r="E77" i="2"/>
  <c r="E78" i="2"/>
  <c r="E79" i="2"/>
  <c r="A80" i="2"/>
  <c r="B1" i="2"/>
  <c r="K76" i="6"/>
  <c r="J76" i="6"/>
  <c r="I76" i="6"/>
  <c r="H76" i="6"/>
  <c r="G76" i="6"/>
  <c r="P71" i="2"/>
  <c r="O71" i="2"/>
  <c r="N71" i="2"/>
  <c r="M71" i="2"/>
  <c r="L71" i="2"/>
  <c r="K71" i="2"/>
  <c r="J71" i="2"/>
  <c r="E65" i="2"/>
  <c r="E66" i="2"/>
  <c r="E67" i="2"/>
  <c r="E68" i="2"/>
  <c r="E69" i="2"/>
  <c r="E70" i="2"/>
  <c r="A71" i="2"/>
  <c r="A26" i="2"/>
  <c r="A35" i="2"/>
  <c r="A44" i="2"/>
  <c r="A53" i="2"/>
  <c r="A62" i="2"/>
  <c r="A89" i="2"/>
  <c r="J17" i="2"/>
  <c r="J26" i="2"/>
  <c r="J35" i="2"/>
  <c r="J44" i="2"/>
  <c r="J53" i="2"/>
  <c r="J62" i="2"/>
  <c r="J89" i="2"/>
  <c r="K17" i="2"/>
  <c r="K26" i="2"/>
  <c r="K35" i="2"/>
  <c r="K44" i="2"/>
  <c r="K53" i="2"/>
  <c r="K62" i="2"/>
  <c r="K89" i="2"/>
  <c r="L17" i="2"/>
  <c r="L26" i="2"/>
  <c r="L35" i="2"/>
  <c r="L44" i="2"/>
  <c r="L53" i="2"/>
  <c r="L62" i="2"/>
  <c r="L89" i="2"/>
  <c r="M17" i="2"/>
  <c r="M44" i="2"/>
  <c r="M53" i="2"/>
  <c r="M62" i="2"/>
  <c r="M89" i="2"/>
  <c r="N17" i="2"/>
  <c r="N26" i="2"/>
  <c r="N35" i="2"/>
  <c r="N44" i="2"/>
  <c r="N53" i="2"/>
  <c r="N62" i="2"/>
  <c r="N89" i="2"/>
  <c r="O17" i="2"/>
  <c r="O26" i="2"/>
  <c r="O35" i="2"/>
  <c r="O44" i="2"/>
  <c r="O53" i="2"/>
  <c r="O62" i="2"/>
  <c r="O89" i="2"/>
  <c r="P17" i="2"/>
  <c r="P26" i="2"/>
  <c r="P35" i="2"/>
  <c r="P44" i="2"/>
  <c r="P53" i="2"/>
  <c r="P62" i="2"/>
  <c r="P89" i="2"/>
  <c r="E88" i="2"/>
  <c r="E87" i="2"/>
  <c r="E86" i="2"/>
  <c r="E85" i="2"/>
  <c r="E84" i="2"/>
  <c r="E83" i="2"/>
  <c r="E61" i="2"/>
  <c r="E60" i="2"/>
  <c r="E59" i="2"/>
  <c r="E58" i="2"/>
  <c r="E57" i="2"/>
  <c r="E56" i="2"/>
  <c r="E52" i="2"/>
  <c r="E51" i="2"/>
  <c r="E50" i="2"/>
  <c r="E49" i="2"/>
  <c r="E48" i="2"/>
  <c r="E47" i="2"/>
  <c r="E43" i="2"/>
  <c r="E42" i="2"/>
  <c r="E41" i="2"/>
  <c r="E40" i="2"/>
  <c r="E39" i="2"/>
  <c r="E38" i="2"/>
  <c r="E34" i="2"/>
  <c r="E33" i="2"/>
  <c r="E32" i="2"/>
  <c r="E31" i="2"/>
  <c r="E30" i="2"/>
  <c r="E29" i="2"/>
  <c r="E25" i="2"/>
  <c r="E24" i="2"/>
  <c r="E23" i="2"/>
  <c r="E22" i="2"/>
  <c r="E21" i="2"/>
  <c r="E20" i="2"/>
  <c r="E12" i="2"/>
  <c r="E13" i="2"/>
  <c r="E14" i="2"/>
  <c r="E15" i="2"/>
  <c r="E16" i="2"/>
  <c r="E11" i="2"/>
  <c r="K68" i="6"/>
  <c r="J68" i="6"/>
  <c r="I68" i="6"/>
  <c r="H68" i="6"/>
  <c r="G68" i="6"/>
  <c r="B3" i="15"/>
  <c r="B2" i="15"/>
  <c r="B1" i="15"/>
  <c r="H28" i="6"/>
  <c r="G28" i="6"/>
  <c r="K92" i="6"/>
  <c r="J92" i="6"/>
  <c r="I92" i="6"/>
  <c r="H92" i="6"/>
  <c r="G92" i="6"/>
  <c r="K60" i="6"/>
  <c r="J60" i="6"/>
  <c r="I60" i="6"/>
  <c r="H60" i="6"/>
  <c r="G60" i="6"/>
  <c r="K52" i="6"/>
  <c r="J52" i="6"/>
  <c r="I52" i="6"/>
  <c r="H52" i="6"/>
  <c r="G52" i="6"/>
  <c r="K44" i="6"/>
  <c r="J44" i="6"/>
  <c r="I44" i="6"/>
  <c r="H44" i="6"/>
  <c r="G44" i="6"/>
  <c r="K36" i="6"/>
  <c r="J36" i="6"/>
  <c r="I36" i="6"/>
  <c r="H36" i="6"/>
  <c r="G36" i="6"/>
  <c r="I28" i="6"/>
  <c r="J28" i="6"/>
  <c r="K28" i="6"/>
  <c r="U87" i="6" l="1"/>
  <c r="S84" i="6"/>
  <c r="Q84" i="6"/>
  <c r="S76" i="6"/>
  <c r="P60" i="6"/>
  <c r="U55" i="6"/>
  <c r="U90" i="6"/>
  <c r="P84" i="6"/>
  <c r="Q76" i="6"/>
  <c r="S68" i="6"/>
  <c r="U57" i="6"/>
  <c r="S52" i="6"/>
  <c r="S44" i="6"/>
  <c r="Q44" i="6"/>
  <c r="Q36" i="6"/>
  <c r="Q92" i="6"/>
  <c r="U81" i="6"/>
  <c r="U80" i="6"/>
  <c r="P76" i="6"/>
  <c r="Q68" i="6"/>
  <c r="S60" i="6"/>
  <c r="P44" i="6"/>
  <c r="P92" i="6"/>
  <c r="U73" i="6"/>
  <c r="U72" i="6"/>
  <c r="U63" i="6"/>
  <c r="P68" i="6"/>
  <c r="Q60" i="6"/>
  <c r="Q52" i="6"/>
  <c r="P52" i="6"/>
  <c r="S36" i="6"/>
  <c r="P36" i="6"/>
  <c r="O42" i="6"/>
  <c r="T42" i="6" s="1"/>
  <c r="U42" i="6" s="1"/>
  <c r="O31" i="6"/>
  <c r="T31" i="6" s="1"/>
  <c r="U31" i="6" s="1"/>
  <c r="F9" i="2"/>
  <c r="D19" i="4"/>
  <c r="A14" i="4"/>
  <c r="A14" i="9"/>
  <c r="B14" i="9" s="1"/>
  <c r="A14" i="6"/>
  <c r="B14" i="6" s="1"/>
  <c r="A10" i="9"/>
  <c r="B10" i="9" s="1"/>
  <c r="A10" i="6"/>
  <c r="B10" i="6" s="1"/>
  <c r="A10" i="4"/>
  <c r="C13" i="7"/>
  <c r="B109" i="9"/>
  <c r="B70" i="6"/>
  <c r="C12" i="7"/>
  <c r="A13" i="4"/>
  <c r="A13" i="6"/>
  <c r="B13" i="6" s="1"/>
  <c r="A13" i="9"/>
  <c r="B13" i="9" s="1"/>
  <c r="A9" i="4"/>
  <c r="A9" i="9"/>
  <c r="B9" i="9" s="1"/>
  <c r="A9" i="6"/>
  <c r="B9" i="6" s="1"/>
  <c r="B83" i="9"/>
  <c r="B46" i="6"/>
  <c r="A12" i="6"/>
  <c r="B12" i="6" s="1"/>
  <c r="A12" i="4"/>
  <c r="A12" i="9"/>
  <c r="B12" i="9" s="1"/>
  <c r="A8" i="9"/>
  <c r="B8" i="9" s="1"/>
  <c r="A8" i="6"/>
  <c r="B8" i="6" s="1"/>
  <c r="A8" i="4"/>
  <c r="A7" i="4"/>
  <c r="A7" i="9"/>
  <c r="B7" i="9" s="1"/>
  <c r="A7" i="6"/>
  <c r="B7" i="6" s="1"/>
  <c r="C16" i="7"/>
  <c r="A15" i="4"/>
  <c r="A15" i="9"/>
  <c r="B15" i="9" s="1"/>
  <c r="A15" i="6"/>
  <c r="B15" i="6" s="1"/>
  <c r="A11" i="9"/>
  <c r="B11" i="9" s="1"/>
  <c r="A11" i="6"/>
  <c r="B11" i="6" s="1"/>
  <c r="A11" i="4"/>
  <c r="R28" i="6"/>
  <c r="F91" i="2"/>
  <c r="Z19" i="4" s="1"/>
  <c r="I91" i="2"/>
  <c r="Z22" i="4" s="1"/>
  <c r="H91" i="2"/>
  <c r="Z21" i="4" s="1"/>
  <c r="G91" i="2"/>
  <c r="Z20" i="4" s="1"/>
  <c r="B18" i="9"/>
  <c r="E80" i="2"/>
  <c r="E26" i="2"/>
  <c r="E62" i="2"/>
  <c r="B57" i="9"/>
  <c r="B62" i="6"/>
  <c r="G94" i="9"/>
  <c r="C12" i="9" s="1"/>
  <c r="E53" i="2"/>
  <c r="B44" i="9"/>
  <c r="B54" i="6"/>
  <c r="B96" i="9"/>
  <c r="O41" i="6"/>
  <c r="T41" i="6" s="1"/>
  <c r="U41" i="6" s="1"/>
  <c r="C28" i="2"/>
  <c r="O91" i="6"/>
  <c r="T91" i="6" s="1"/>
  <c r="U91" i="6" s="1"/>
  <c r="O88" i="6"/>
  <c r="T88" i="6" s="1"/>
  <c r="U88" i="6" s="1"/>
  <c r="O82" i="6"/>
  <c r="T82" i="6" s="1"/>
  <c r="U82" i="6" s="1"/>
  <c r="O79" i="6"/>
  <c r="T79" i="6" s="1"/>
  <c r="O67" i="6"/>
  <c r="T67" i="6" s="1"/>
  <c r="U67" i="6" s="1"/>
  <c r="C17" i="7"/>
  <c r="B22" i="6"/>
  <c r="G42" i="9"/>
  <c r="C8" i="9" s="1"/>
  <c r="C46" i="2"/>
  <c r="E71" i="2"/>
  <c r="C14" i="7"/>
  <c r="C9" i="7"/>
  <c r="O89" i="6"/>
  <c r="T89" i="6" s="1"/>
  <c r="U89" i="6" s="1"/>
  <c r="O71" i="6"/>
  <c r="T71" i="6" s="1"/>
  <c r="O58" i="6"/>
  <c r="T58" i="6" s="1"/>
  <c r="U58" i="6" s="1"/>
  <c r="O51" i="6"/>
  <c r="T51" i="6" s="1"/>
  <c r="U51" i="6" s="1"/>
  <c r="O32" i="6"/>
  <c r="T32" i="6" s="1"/>
  <c r="U32" i="6" s="1"/>
  <c r="O27" i="6"/>
  <c r="T27" i="6" s="1"/>
  <c r="U27" i="6" s="1"/>
  <c r="O23" i="6"/>
  <c r="T23" i="6" s="1"/>
  <c r="K91" i="2"/>
  <c r="Z24" i="4" s="1"/>
  <c r="J91" i="2"/>
  <c r="Z23" i="4" s="1"/>
  <c r="M91" i="2"/>
  <c r="Z26" i="4" s="1"/>
  <c r="O91" i="2"/>
  <c r="Z28" i="4" s="1"/>
  <c r="L91" i="2"/>
  <c r="Z25" i="4" s="1"/>
  <c r="P91" i="2"/>
  <c r="Z29" i="4" s="1"/>
  <c r="P28" i="6"/>
  <c r="O49" i="6"/>
  <c r="T49" i="6" s="1"/>
  <c r="U49" i="6" s="1"/>
  <c r="O48" i="6"/>
  <c r="T48" i="6" s="1"/>
  <c r="U48" i="6" s="1"/>
  <c r="O47" i="6"/>
  <c r="T47" i="6" s="1"/>
  <c r="T52" i="6" s="1"/>
  <c r="O35" i="6"/>
  <c r="T35" i="6" s="1"/>
  <c r="U35" i="6" s="1"/>
  <c r="G107" i="9"/>
  <c r="C13" i="9" s="1"/>
  <c r="G55" i="9"/>
  <c r="C9" i="9" s="1"/>
  <c r="O75" i="6"/>
  <c r="T75" i="6" s="1"/>
  <c r="U75" i="6" s="1"/>
  <c r="O74" i="6"/>
  <c r="T74" i="6" s="1"/>
  <c r="U74" i="6" s="1"/>
  <c r="O59" i="6"/>
  <c r="T59" i="6" s="1"/>
  <c r="U59" i="6" s="1"/>
  <c r="O50" i="6"/>
  <c r="T50" i="6" s="1"/>
  <c r="U50" i="6" s="1"/>
  <c r="O34" i="6"/>
  <c r="T34" i="6" s="1"/>
  <c r="U34" i="6" s="1"/>
  <c r="E17" i="2"/>
  <c r="O66" i="6"/>
  <c r="T66" i="6" s="1"/>
  <c r="U66" i="6" s="1"/>
  <c r="O64" i="6"/>
  <c r="T64" i="6" s="1"/>
  <c r="U64" i="6" s="1"/>
  <c r="O40" i="6"/>
  <c r="T40" i="6" s="1"/>
  <c r="U40" i="6" s="1"/>
  <c r="N91" i="2"/>
  <c r="Z27" i="4" s="1"/>
  <c r="U10" i="7"/>
  <c r="E35" i="2"/>
  <c r="E44" i="2"/>
  <c r="E89" i="2"/>
  <c r="O33" i="6"/>
  <c r="T33" i="6" s="1"/>
  <c r="U33" i="6" s="1"/>
  <c r="M9" i="2"/>
  <c r="D25" i="4"/>
  <c r="L9" i="2"/>
  <c r="R13" i="7"/>
  <c r="D23" i="4"/>
  <c r="J9" i="2"/>
  <c r="O9" i="2"/>
  <c r="K9" i="2"/>
  <c r="N9" i="2"/>
  <c r="R9" i="7"/>
  <c r="D29" i="4"/>
  <c r="P9" i="2"/>
  <c r="O16" i="7"/>
  <c r="R10" i="7"/>
  <c r="U17" i="7"/>
  <c r="R17" i="7"/>
  <c r="R14" i="7"/>
  <c r="O17" i="7"/>
  <c r="O9" i="7"/>
  <c r="R16" i="7"/>
  <c r="R12" i="7"/>
  <c r="O15" i="7"/>
  <c r="U16" i="7"/>
  <c r="R11" i="7"/>
  <c r="U11" i="7"/>
  <c r="U15" i="7"/>
  <c r="R15" i="7"/>
  <c r="C10" i="7"/>
  <c r="O13" i="7"/>
  <c r="U12" i="7"/>
  <c r="S28" i="6"/>
  <c r="O14" i="7"/>
  <c r="U13" i="7"/>
  <c r="U23" i="6"/>
  <c r="U9" i="7" s="1"/>
  <c r="Q28" i="6"/>
  <c r="U14" i="7"/>
  <c r="O11" i="7"/>
  <c r="G133" i="9"/>
  <c r="C15" i="9" s="1"/>
  <c r="G81" i="9"/>
  <c r="O12" i="7"/>
  <c r="G120" i="9"/>
  <c r="C14" i="9" s="1"/>
  <c r="G29" i="9"/>
  <c r="C7" i="9" s="1"/>
  <c r="G68" i="9"/>
  <c r="C10" i="9" s="1"/>
  <c r="C73" i="2"/>
  <c r="C64" i="2"/>
  <c r="C37" i="2"/>
  <c r="D27" i="4"/>
  <c r="O25" i="6"/>
  <c r="T25" i="6" s="1"/>
  <c r="O26" i="6"/>
  <c r="T26" i="6" s="1"/>
  <c r="U26" i="6" s="1"/>
  <c r="O39" i="6"/>
  <c r="T39" i="6" s="1"/>
  <c r="O43" i="6"/>
  <c r="T43" i="6" s="1"/>
  <c r="U43" i="6" s="1"/>
  <c r="O56" i="6"/>
  <c r="T56" i="6" s="1"/>
  <c r="U56" i="6" s="1"/>
  <c r="C55" i="2"/>
  <c r="C82" i="2"/>
  <c r="U24" i="6"/>
  <c r="D24" i="4"/>
  <c r="D26" i="4"/>
  <c r="D28" i="4"/>
  <c r="U36" i="6" l="1"/>
  <c r="O10" i="7"/>
  <c r="O18" i="7" s="1"/>
  <c r="T68" i="6"/>
  <c r="T44" i="6"/>
  <c r="T76" i="6"/>
  <c r="T36" i="6"/>
  <c r="U47" i="6"/>
  <c r="U52" i="6" s="1"/>
  <c r="U68" i="6"/>
  <c r="U71" i="6"/>
  <c r="U76" i="6" s="1"/>
  <c r="U39" i="6"/>
  <c r="U44" i="6" s="1"/>
  <c r="U60" i="6"/>
  <c r="T92" i="6"/>
  <c r="T60" i="6"/>
  <c r="U92" i="6"/>
  <c r="T84" i="6"/>
  <c r="U79" i="6"/>
  <c r="U84" i="6" s="1"/>
  <c r="S94" i="6"/>
  <c r="G17" i="4"/>
  <c r="B8" i="4"/>
  <c r="I17" i="4"/>
  <c r="B9" i="4"/>
  <c r="K17" i="4"/>
  <c r="B10" i="4"/>
  <c r="B15" i="4"/>
  <c r="U17" i="4"/>
  <c r="U20" i="4" s="1"/>
  <c r="V20" i="4" s="1"/>
  <c r="C11" i="9"/>
  <c r="F13" i="7" s="1"/>
  <c r="O17" i="4"/>
  <c r="B12" i="4"/>
  <c r="B13" i="4"/>
  <c r="Q17" i="4"/>
  <c r="M17" i="4"/>
  <c r="M19" i="4" s="1"/>
  <c r="N19" i="4" s="1"/>
  <c r="B11" i="4"/>
  <c r="E17" i="4"/>
  <c r="E19" i="4" s="1"/>
  <c r="B7" i="4"/>
  <c r="S17" i="4"/>
  <c r="B14" i="4"/>
  <c r="G92" i="2"/>
  <c r="H92" i="2"/>
  <c r="I92" i="2"/>
  <c r="F92" i="2"/>
  <c r="Q19" i="4"/>
  <c r="R19" i="4" s="1"/>
  <c r="O19" i="4"/>
  <c r="P19" i="4" s="1"/>
  <c r="I19" i="4"/>
  <c r="J19" i="4" s="1"/>
  <c r="U19" i="4"/>
  <c r="V19" i="4" s="1"/>
  <c r="K19" i="4"/>
  <c r="L19" i="4" s="1"/>
  <c r="G19" i="4"/>
  <c r="H19" i="4" s="1"/>
  <c r="S19" i="4"/>
  <c r="T19" i="4" s="1"/>
  <c r="Q20" i="4"/>
  <c r="R20" i="4" s="1"/>
  <c r="G20" i="4"/>
  <c r="H20" i="4" s="1"/>
  <c r="K20" i="4"/>
  <c r="L20" i="4" s="1"/>
  <c r="I20" i="4"/>
  <c r="J20" i="4" s="1"/>
  <c r="M20" i="4"/>
  <c r="N20" i="4" s="1"/>
  <c r="O20" i="4"/>
  <c r="P20" i="4" s="1"/>
  <c r="S20" i="4"/>
  <c r="T20" i="4" s="1"/>
  <c r="G21" i="4"/>
  <c r="H21" i="4" s="1"/>
  <c r="U21" i="4"/>
  <c r="V21" i="4" s="1"/>
  <c r="I21" i="4"/>
  <c r="J21" i="4" s="1"/>
  <c r="Q21" i="4"/>
  <c r="R21" i="4" s="1"/>
  <c r="K21" i="4"/>
  <c r="L21" i="4" s="1"/>
  <c r="S21" i="4"/>
  <c r="T21" i="4" s="1"/>
  <c r="O21" i="4"/>
  <c r="P21" i="4" s="1"/>
  <c r="E21" i="4"/>
  <c r="M21" i="4"/>
  <c r="N21" i="4" s="1"/>
  <c r="S22" i="4"/>
  <c r="T22" i="4" s="1"/>
  <c r="U22" i="4"/>
  <c r="V22" i="4" s="1"/>
  <c r="K22" i="4"/>
  <c r="L22" i="4" s="1"/>
  <c r="E22" i="4"/>
  <c r="O22" i="4"/>
  <c r="P22" i="4" s="1"/>
  <c r="I22" i="4"/>
  <c r="J22" i="4" s="1"/>
  <c r="M22" i="4"/>
  <c r="N22" i="4" s="1"/>
  <c r="Q22" i="4"/>
  <c r="R22" i="4" s="1"/>
  <c r="G22" i="4"/>
  <c r="H22" i="4" s="1"/>
  <c r="F14" i="7"/>
  <c r="F11" i="7"/>
  <c r="F10" i="7"/>
  <c r="F15" i="7"/>
  <c r="F16" i="7"/>
  <c r="F12" i="7"/>
  <c r="L92" i="2"/>
  <c r="O92" i="2"/>
  <c r="J92" i="2"/>
  <c r="F17" i="7"/>
  <c r="M92" i="2"/>
  <c r="R94" i="6"/>
  <c r="K92" i="2"/>
  <c r="M29" i="4"/>
  <c r="N29" i="4" s="1"/>
  <c r="I25" i="4"/>
  <c r="J25" i="4" s="1"/>
  <c r="K27" i="4"/>
  <c r="L27" i="4" s="1"/>
  <c r="P92" i="2"/>
  <c r="N92" i="2"/>
  <c r="G28" i="4"/>
  <c r="H28" i="4" s="1"/>
  <c r="G24" i="4"/>
  <c r="H24" i="4" s="1"/>
  <c r="K26" i="4"/>
  <c r="L26" i="4" s="1"/>
  <c r="P94" i="6"/>
  <c r="O27" i="4"/>
  <c r="P27" i="4" s="1"/>
  <c r="U28" i="4"/>
  <c r="V28" i="4" s="1"/>
  <c r="Q94" i="6"/>
  <c r="R18" i="7"/>
  <c r="G29" i="4"/>
  <c r="H29" i="4" s="1"/>
  <c r="G23" i="4"/>
  <c r="H23" i="4" s="1"/>
  <c r="U25" i="4"/>
  <c r="V25" i="4" s="1"/>
  <c r="I24" i="4"/>
  <c r="J24" i="4" s="1"/>
  <c r="E24" i="4"/>
  <c r="S23" i="4"/>
  <c r="T23" i="4" s="1"/>
  <c r="O25" i="4"/>
  <c r="P25" i="4" s="1"/>
  <c r="E29" i="4"/>
  <c r="E25" i="4"/>
  <c r="S28" i="4"/>
  <c r="T28" i="4" s="1"/>
  <c r="O28" i="4"/>
  <c r="P28" i="4" s="1"/>
  <c r="U18" i="7"/>
  <c r="M27" i="4"/>
  <c r="N27" i="4" s="1"/>
  <c r="E26" i="4"/>
  <c r="S25" i="4"/>
  <c r="T25" i="4" s="1"/>
  <c r="O24" i="4"/>
  <c r="P24" i="4" s="1"/>
  <c r="T28" i="6"/>
  <c r="U23" i="4"/>
  <c r="V23" i="4" s="1"/>
  <c r="M23" i="4"/>
  <c r="N23" i="4" s="1"/>
  <c r="U29" i="4"/>
  <c r="V29" i="4" s="1"/>
  <c r="E23" i="4"/>
  <c r="S27" i="4"/>
  <c r="T27" i="4" s="1"/>
  <c r="O29" i="4"/>
  <c r="P29" i="4" s="1"/>
  <c r="E91" i="2"/>
  <c r="U25" i="6"/>
  <c r="U28" i="6" s="1"/>
  <c r="C7" i="6" s="1"/>
  <c r="I27" i="4"/>
  <c r="J27" i="4" s="1"/>
  <c r="G135" i="9"/>
  <c r="I26" i="4"/>
  <c r="J26" i="4" s="1"/>
  <c r="M24" i="4"/>
  <c r="N24" i="4" s="1"/>
  <c r="Q23" i="4"/>
  <c r="R23" i="4" s="1"/>
  <c r="U24" i="4"/>
  <c r="V24" i="4" s="1"/>
  <c r="M25" i="4"/>
  <c r="N25" i="4" s="1"/>
  <c r="Q24" i="4"/>
  <c r="R24" i="4" s="1"/>
  <c r="Q29" i="4"/>
  <c r="R29" i="4" s="1"/>
  <c r="K28" i="4"/>
  <c r="L28" i="4" s="1"/>
  <c r="Q25" i="4"/>
  <c r="R25" i="4" s="1"/>
  <c r="G26" i="4"/>
  <c r="H26" i="4" s="1"/>
  <c r="I23" i="4"/>
  <c r="J23" i="4" s="1"/>
  <c r="U27" i="4"/>
  <c r="V27" i="4" s="1"/>
  <c r="K23" i="4"/>
  <c r="L23" i="4" s="1"/>
  <c r="M28" i="4"/>
  <c r="N28" i="4" s="1"/>
  <c r="Q26" i="4"/>
  <c r="R26" i="4" s="1"/>
  <c r="K24" i="4"/>
  <c r="L24" i="4" s="1"/>
  <c r="Q28" i="4"/>
  <c r="R28" i="4" s="1"/>
  <c r="K29" i="4"/>
  <c r="L29" i="4" s="1"/>
  <c r="M26" i="4"/>
  <c r="N26" i="4" s="1"/>
  <c r="Q27" i="4"/>
  <c r="R27" i="4" s="1"/>
  <c r="E28" i="4"/>
  <c r="S24" i="4"/>
  <c r="T24" i="4" s="1"/>
  <c r="O23" i="4"/>
  <c r="P23" i="4" s="1"/>
  <c r="F9" i="7"/>
  <c r="G25" i="4"/>
  <c r="H25" i="4" s="1"/>
  <c r="G27" i="4"/>
  <c r="H27" i="4" s="1"/>
  <c r="U26" i="4"/>
  <c r="V26" i="4" s="1"/>
  <c r="K25" i="4"/>
  <c r="L25" i="4" s="1"/>
  <c r="E27" i="4"/>
  <c r="S26" i="4"/>
  <c r="T26" i="4" s="1"/>
  <c r="S29" i="4"/>
  <c r="T29" i="4" s="1"/>
  <c r="O26" i="4"/>
  <c r="P26" i="4" s="1"/>
  <c r="E20" i="4" l="1"/>
  <c r="F20" i="4" s="1"/>
  <c r="W20" i="4" s="1"/>
  <c r="Y20" i="4" s="1"/>
  <c r="T94" i="6"/>
  <c r="U96" i="6" s="1"/>
  <c r="C8" i="6"/>
  <c r="E10" i="7" s="1"/>
  <c r="C13" i="6"/>
  <c r="E15" i="7" s="1"/>
  <c r="C9" i="6"/>
  <c r="E11" i="7" s="1"/>
  <c r="C11" i="6"/>
  <c r="E13" i="7" s="1"/>
  <c r="C12" i="6"/>
  <c r="E14" i="7" s="1"/>
  <c r="C14" i="6"/>
  <c r="E16" i="7" s="1"/>
  <c r="C15" i="6"/>
  <c r="E17" i="7" s="1"/>
  <c r="C10" i="6"/>
  <c r="E12" i="7" s="1"/>
  <c r="F19" i="4"/>
  <c r="X19" i="4" s="1"/>
  <c r="F21" i="4"/>
  <c r="X21" i="4" s="1"/>
  <c r="F22" i="4"/>
  <c r="W22" i="4" s="1"/>
  <c r="Y22" i="4" s="1"/>
  <c r="F18" i="7"/>
  <c r="I29" i="4"/>
  <c r="J29" i="4" s="1"/>
  <c r="I28" i="4"/>
  <c r="J28" i="4" s="1"/>
  <c r="E9" i="7"/>
  <c r="U94" i="6"/>
  <c r="O30" i="4"/>
  <c r="U30" i="4"/>
  <c r="S30" i="4"/>
  <c r="F23" i="4"/>
  <c r="W23" i="4" s="1"/>
  <c r="Y23" i="4" s="1"/>
  <c r="F25" i="4"/>
  <c r="W25" i="4" s="1"/>
  <c r="Y25" i="4" s="1"/>
  <c r="Q30" i="4"/>
  <c r="F26" i="4"/>
  <c r="X26" i="4" s="1"/>
  <c r="F29" i="4"/>
  <c r="F28" i="4"/>
  <c r="G30" i="4"/>
  <c r="F27" i="4"/>
  <c r="X27" i="4" s="1"/>
  <c r="K30" i="4"/>
  <c r="M30" i="4"/>
  <c r="F24" i="4"/>
  <c r="W24" i="4" s="1"/>
  <c r="Y24" i="4" s="1"/>
  <c r="E30" i="4" l="1"/>
  <c r="E18" i="7"/>
  <c r="W19" i="4"/>
  <c r="Y19" i="4" s="1"/>
  <c r="X20" i="4"/>
  <c r="W21" i="4"/>
  <c r="Y21" i="4" s="1"/>
  <c r="X22" i="4"/>
  <c r="W29" i="4"/>
  <c r="Y29" i="4" s="1"/>
  <c r="X28" i="4"/>
  <c r="I30" i="4"/>
  <c r="W28" i="4"/>
  <c r="Y28" i="4" s="1"/>
  <c r="N30" i="4"/>
  <c r="C11" i="4" s="1"/>
  <c r="H30" i="4"/>
  <c r="C8" i="4" s="1"/>
  <c r="L30" i="4"/>
  <c r="C10" i="4" s="1"/>
  <c r="X29" i="4"/>
  <c r="R30" i="4"/>
  <c r="C13" i="4" s="1"/>
  <c r="T30" i="4"/>
  <c r="C14" i="4" s="1"/>
  <c r="X25" i="4"/>
  <c r="P30" i="4"/>
  <c r="C12" i="4" s="1"/>
  <c r="X23" i="4"/>
  <c r="X24" i="4"/>
  <c r="J30" i="4"/>
  <c r="C9" i="4" s="1"/>
  <c r="W27" i="4"/>
  <c r="Y27" i="4" s="1"/>
  <c r="W26" i="4"/>
  <c r="Y26" i="4" s="1"/>
  <c r="V30" i="4"/>
  <c r="C15" i="4" s="1"/>
  <c r="F30" i="4"/>
  <c r="C7" i="4" s="1"/>
  <c r="D17" i="7" l="1"/>
  <c r="G17" i="7" s="1"/>
  <c r="D16" i="7"/>
  <c r="G16" i="7" s="1"/>
  <c r="D15" i="7"/>
  <c r="G15" i="7" s="1"/>
  <c r="D14" i="7"/>
  <c r="G14" i="7" s="1"/>
  <c r="D13" i="7"/>
  <c r="G13" i="7" s="1"/>
  <c r="D12" i="7"/>
  <c r="G12" i="7" s="1"/>
  <c r="D11" i="7"/>
  <c r="G11" i="7" s="1"/>
  <c r="D10" i="7"/>
  <c r="G10" i="7" s="1"/>
  <c r="X30" i="4"/>
  <c r="D9" i="7"/>
  <c r="W30" i="4"/>
  <c r="T12" i="7"/>
  <c r="T9" i="7"/>
  <c r="Q10" i="7"/>
  <c r="T15" i="7"/>
  <c r="T17" i="7"/>
  <c r="N14" i="7"/>
  <c r="Q12" i="7"/>
  <c r="N11" i="7"/>
  <c r="N13" i="7"/>
  <c r="T16" i="7"/>
  <c r="N16" i="7"/>
  <c r="N17" i="7"/>
  <c r="N9" i="7"/>
  <c r="N15" i="7"/>
  <c r="T13" i="7"/>
  <c r="N10" i="7"/>
  <c r="T11" i="7"/>
  <c r="Q13" i="7"/>
  <c r="N12" i="7"/>
  <c r="Q17" i="7"/>
  <c r="Q11" i="7"/>
  <c r="T14" i="7"/>
  <c r="Q16" i="7"/>
  <c r="Q15" i="7"/>
  <c r="Q14" i="7"/>
  <c r="Q9" i="7"/>
  <c r="T10" i="7"/>
  <c r="S14" i="7" l="1"/>
  <c r="V11" i="7"/>
  <c r="V13" i="7"/>
  <c r="P14" i="7"/>
  <c r="V16" i="7"/>
  <c r="Q18" i="7"/>
  <c r="S9" i="7"/>
  <c r="V9" i="7"/>
  <c r="T18" i="7"/>
  <c r="S13" i="7"/>
  <c r="V15" i="7"/>
  <c r="S10" i="7"/>
  <c r="P15" i="7"/>
  <c r="P16" i="7"/>
  <c r="V17" i="7"/>
  <c r="V10" i="7"/>
  <c r="S11" i="7"/>
  <c r="S15" i="7"/>
  <c r="N18" i="7"/>
  <c r="P9" i="7"/>
  <c r="V14" i="7"/>
  <c r="S12" i="7"/>
  <c r="P17" i="7"/>
  <c r="V12" i="7"/>
  <c r="P10" i="7"/>
  <c r="P12" i="7"/>
  <c r="P13" i="7"/>
  <c r="S16" i="7"/>
  <c r="P11" i="7"/>
  <c r="S17" i="7"/>
  <c r="D18" i="7"/>
  <c r="G9" i="7"/>
  <c r="W10" i="7" l="1"/>
  <c r="H10" i="7" s="1"/>
  <c r="W14" i="7"/>
  <c r="H14" i="7" s="1"/>
  <c r="W11" i="7"/>
  <c r="I11" i="7" s="1"/>
  <c r="W15" i="7"/>
  <c r="H15" i="7" s="1"/>
  <c r="W13" i="7"/>
  <c r="J13" i="7" s="1"/>
  <c r="W17" i="7"/>
  <c r="H17" i="7" s="1"/>
  <c r="W12" i="7"/>
  <c r="I12" i="7" s="1"/>
  <c r="S18" i="7"/>
  <c r="P18" i="7"/>
  <c r="W16" i="7"/>
  <c r="I16" i="7" s="1"/>
  <c r="V18" i="7"/>
  <c r="W9" i="7"/>
  <c r="J9" i="7" s="1"/>
  <c r="G18" i="7"/>
  <c r="X10" i="7" l="1"/>
  <c r="Z10" i="7"/>
  <c r="J10" i="7"/>
  <c r="I10" i="7"/>
  <c r="I13" i="7"/>
  <c r="J11" i="7"/>
  <c r="Z11" i="7"/>
  <c r="J14" i="7"/>
  <c r="I14" i="7"/>
  <c r="X14" i="7"/>
  <c r="Z14" i="7"/>
  <c r="I17" i="7"/>
  <c r="H13" i="7"/>
  <c r="J15" i="7"/>
  <c r="X17" i="7"/>
  <c r="Z13" i="7"/>
  <c r="X13" i="7"/>
  <c r="X15" i="7"/>
  <c r="J17" i="7"/>
  <c r="I15" i="7"/>
  <c r="Z15" i="7"/>
  <c r="J12" i="7"/>
  <c r="X11" i="7"/>
  <c r="H11" i="7"/>
  <c r="Z12" i="7"/>
  <c r="X12" i="7"/>
  <c r="Z17" i="7"/>
  <c r="H12" i="7"/>
  <c r="W18" i="7"/>
  <c r="I18" i="7" s="1"/>
  <c r="H9" i="7"/>
  <c r="Z9" i="7"/>
  <c r="X9" i="7"/>
  <c r="X16" i="7"/>
  <c r="H16" i="7"/>
  <c r="Z16" i="7"/>
  <c r="I9" i="7"/>
  <c r="J16" i="7"/>
  <c r="K20" i="7"/>
  <c r="K10" i="7" l="1"/>
  <c r="K11" i="7"/>
  <c r="K13" i="7"/>
  <c r="K14" i="7"/>
  <c r="K17" i="7"/>
  <c r="K15" i="7"/>
  <c r="K12" i="7"/>
  <c r="Z18" i="7"/>
  <c r="X18" i="7"/>
  <c r="H18" i="7"/>
  <c r="J18" i="7"/>
  <c r="K9" i="7"/>
  <c r="K16" i="7"/>
  <c r="K18" i="7" l="1"/>
</calcChain>
</file>

<file path=xl/sharedStrings.xml><?xml version="1.0" encoding="utf-8"?>
<sst xmlns="http://schemas.openxmlformats.org/spreadsheetml/2006/main" count="825" uniqueCount="354">
  <si>
    <t xml:space="preserve"> </t>
  </si>
  <si>
    <t>Total</t>
  </si>
  <si>
    <t>Staff</t>
  </si>
  <si>
    <t>Rate</t>
  </si>
  <si>
    <t>Hourly</t>
  </si>
  <si>
    <t>Hrs</t>
  </si>
  <si>
    <t>Hours</t>
  </si>
  <si>
    <t>Costs</t>
  </si>
  <si>
    <t>Subtotal Labor</t>
  </si>
  <si>
    <t>Staff Name</t>
  </si>
  <si>
    <t>Units</t>
  </si>
  <si>
    <t>Description of Travel</t>
  </si>
  <si>
    <t>Rates</t>
  </si>
  <si>
    <t>Cost</t>
  </si>
  <si>
    <t>Destination</t>
  </si>
  <si>
    <t>(a)</t>
  </si>
  <si>
    <t>(b)</t>
  </si>
  <si>
    <t>(c)</t>
  </si>
  <si>
    <t>(d)</t>
  </si>
  <si>
    <t>(e)</t>
  </si>
  <si>
    <t>(f)</t>
  </si>
  <si>
    <t>(g)</t>
  </si>
  <si>
    <t>(h)</t>
  </si>
  <si>
    <t>(i)</t>
  </si>
  <si>
    <t>(j)</t>
  </si>
  <si>
    <t>(k)</t>
  </si>
  <si>
    <t>(l)</t>
  </si>
  <si>
    <t>(m)</t>
  </si>
  <si>
    <t>(n)</t>
  </si>
  <si>
    <t>No.</t>
  </si>
  <si>
    <t>Days</t>
  </si>
  <si>
    <t>No. of</t>
  </si>
  <si>
    <t>Personal</t>
  </si>
  <si>
    <t>Subtotal</t>
  </si>
  <si>
    <t xml:space="preserve">Subtotal </t>
  </si>
  <si>
    <t>Sum of</t>
  </si>
  <si>
    <t>From:</t>
  </si>
  <si>
    <t>To:</t>
  </si>
  <si>
    <t>of</t>
  </si>
  <si>
    <t>per</t>
  </si>
  <si>
    <t>Rental</t>
  </si>
  <si>
    <t>Mileage</t>
  </si>
  <si>
    <t>Airfare</t>
  </si>
  <si>
    <t>Meals &amp;</t>
  </si>
  <si>
    <t>Auto Rent</t>
  </si>
  <si>
    <t xml:space="preserve">Mileage </t>
  </si>
  <si>
    <t>Lodging</t>
  </si>
  <si>
    <t>M&amp;IE</t>
  </si>
  <si>
    <t>Trips</t>
  </si>
  <si>
    <t>Trip</t>
  </si>
  <si>
    <t>Cars</t>
  </si>
  <si>
    <t>R/T</t>
  </si>
  <si>
    <t>Incidentals</t>
  </si>
  <si>
    <t>(a)(b)(f)</t>
  </si>
  <si>
    <t>(a)(c)(d)(g)</t>
  </si>
  <si>
    <t>(a)(b)(c-1)(h)</t>
  </si>
  <si>
    <t>(a)(b)(c)(i)</t>
  </si>
  <si>
    <t xml:space="preserve">TRAVEL TOTAL: </t>
  </si>
  <si>
    <t>Labor</t>
  </si>
  <si>
    <t>Federal mileage rate</t>
  </si>
  <si>
    <t>Default amount</t>
  </si>
  <si>
    <t>Purpose</t>
  </si>
  <si>
    <t>Auto Rental</t>
  </si>
  <si>
    <t>Rate (Incl.</t>
  </si>
  <si>
    <t>Gas &amp; Taxes)</t>
  </si>
  <si>
    <t>Unit Cost</t>
  </si>
  <si>
    <t>Numbers</t>
  </si>
  <si>
    <t>Expense Description</t>
  </si>
  <si>
    <t>Non-Labor</t>
  </si>
  <si>
    <t>Assistant</t>
  </si>
  <si>
    <t>Support II</t>
  </si>
  <si>
    <t>Principal I</t>
  </si>
  <si>
    <t>Disclaimer: This sheet is used by Air Sciences to estimate the total project price only.  The information contained herein does not obligate Air Sciences to allocate these expenditures in the manner shown in this sheet.</t>
  </si>
  <si>
    <t>Support I</t>
  </si>
  <si>
    <t>Professional Level</t>
  </si>
  <si>
    <t>TOTAL</t>
  </si>
  <si>
    <t>Check from Hours Tab</t>
  </si>
  <si>
    <t>Company</t>
  </si>
  <si>
    <t>Type</t>
  </si>
  <si>
    <t>Unspecified</t>
  </si>
  <si>
    <t>-</t>
  </si>
  <si>
    <t>Air Sciences</t>
  </si>
  <si>
    <t>Prime</t>
  </si>
  <si>
    <t>OBE</t>
  </si>
  <si>
    <t>Cordoba</t>
  </si>
  <si>
    <t>Land IQ</t>
  </si>
  <si>
    <t>Special Counsel</t>
  </si>
  <si>
    <t>Associate Ecologist</t>
  </si>
  <si>
    <t>Senior Scientist</t>
  </si>
  <si>
    <t>Project Scientist</t>
  </si>
  <si>
    <t xml:space="preserve">Destination </t>
  </si>
  <si>
    <t>Origination</t>
  </si>
  <si>
    <t>Airfare R/T</t>
  </si>
  <si>
    <t>Meals</t>
  </si>
  <si>
    <t>Portland, OR</t>
  </si>
  <si>
    <t>Denver, CO</t>
  </si>
  <si>
    <t>Sacramento, CA</t>
  </si>
  <si>
    <t>San Francisco, CA</t>
  </si>
  <si>
    <t>Los Angeles, CA</t>
  </si>
  <si>
    <t>Number of Units</t>
  </si>
  <si>
    <t>Driving</t>
  </si>
  <si>
    <t>Subtask No.</t>
  </si>
  <si>
    <t>Subtask</t>
  </si>
  <si>
    <t>Subtask Descriptions</t>
  </si>
  <si>
    <t>Subtask Description</t>
  </si>
  <si>
    <t>SBE</t>
  </si>
  <si>
    <t>Provenience</t>
  </si>
  <si>
    <t>Science Program Director</t>
  </si>
  <si>
    <t>Associate Scientist</t>
  </si>
  <si>
    <t>Staff I Scientist</t>
  </si>
  <si>
    <t>Staff I Analyst</t>
  </si>
  <si>
    <t>Assistant II</t>
  </si>
  <si>
    <t>Principal Scientist II</t>
  </si>
  <si>
    <t>Principal Scientist I</t>
  </si>
  <si>
    <t>Senior Technician</t>
  </si>
  <si>
    <t>S/OBE</t>
  </si>
  <si>
    <t>Travel</t>
  </si>
  <si>
    <t>Expenses</t>
  </si>
  <si>
    <t>Utilization (%)</t>
  </si>
  <si>
    <t>Total Cost</t>
  </si>
  <si>
    <t>Subtask Name</t>
  </si>
  <si>
    <t>TASK ORDER PROPOSAL COST SUMMARY</t>
  </si>
  <si>
    <t>TRAVEL COSTS</t>
  </si>
  <si>
    <t>LABOR COSTS</t>
  </si>
  <si>
    <t>LABOR HOURS</t>
  </si>
  <si>
    <t>NON-TRAVEL RELATED EXPENSES</t>
  </si>
  <si>
    <t>TASK ORDER PROPOSAL TOTAL:</t>
  </si>
  <si>
    <t>Far Western</t>
  </si>
  <si>
    <t>Task Order Total</t>
  </si>
  <si>
    <t>Ann Sihler</t>
  </si>
  <si>
    <t>Nickling Environmental</t>
  </si>
  <si>
    <t>2017 Rates</t>
  </si>
  <si>
    <t>Jeremy Thomas</t>
  </si>
  <si>
    <t>Karen Williams</t>
  </si>
  <si>
    <t>Ryan Mitchell</t>
  </si>
  <si>
    <t>Edward (Ed) Douglas</t>
  </si>
  <si>
    <t>Timothy (Tim) Bedford</t>
  </si>
  <si>
    <t>Joseph Hurliman</t>
  </si>
  <si>
    <t>David Randall</t>
  </si>
  <si>
    <t>Kevin Lewis</t>
  </si>
  <si>
    <t>Elizabeth Huelson</t>
  </si>
  <si>
    <t>Kent Norville</t>
  </si>
  <si>
    <t>Maarten Schreuder</t>
  </si>
  <si>
    <t>Matthew Mavko</t>
  </si>
  <si>
    <t>Timothy Martin</t>
  </si>
  <si>
    <t>John Bannister</t>
  </si>
  <si>
    <t>Evan Burgess</t>
  </si>
  <si>
    <t>Max Hampson</t>
  </si>
  <si>
    <t>Katheryn Kolesar</t>
  </si>
  <si>
    <t>Sareth Prum</t>
  </si>
  <si>
    <t>Sabrina Pryor</t>
  </si>
  <si>
    <t>Donata Gylys</t>
  </si>
  <si>
    <t>Giedrius Gylys</t>
  </si>
  <si>
    <t>Misty Shuck</t>
  </si>
  <si>
    <t>Ron Gastelum</t>
  </si>
  <si>
    <t>Steve Reese</t>
  </si>
  <si>
    <t>Victor Silvas</t>
  </si>
  <si>
    <t>Joel Kimmelshue</t>
  </si>
  <si>
    <t>Mica Heilmann</t>
  </si>
  <si>
    <t>Stephanie Tillman</t>
  </si>
  <si>
    <t>Seth Mulder</t>
  </si>
  <si>
    <t>Chris Stall</t>
  </si>
  <si>
    <t>Casey Gudel</t>
  </si>
  <si>
    <t>Cody Fink</t>
  </si>
  <si>
    <t>Margot Griswold</t>
  </si>
  <si>
    <t>Donna Eto</t>
  </si>
  <si>
    <t>Melissa Riedel-Lehrke</t>
  </si>
  <si>
    <t>Robert Travis Brooks</t>
  </si>
  <si>
    <t>Jenni Snibbe</t>
  </si>
  <si>
    <t>Zhongwu Wang</t>
  </si>
  <si>
    <t>Diya Chowdhury</t>
  </si>
  <si>
    <t>Andrew Loberg</t>
  </si>
  <si>
    <t>Justin Sitton</t>
  </si>
  <si>
    <t>Spring Riddle</t>
  </si>
  <si>
    <t>Laura McFadden</t>
  </si>
  <si>
    <t>Rich Coles</t>
  </si>
  <si>
    <t>Julie Lanthier</t>
  </si>
  <si>
    <t>Mark Schaaf</t>
  </si>
  <si>
    <t>NUVIS</t>
  </si>
  <si>
    <t>Samuel Unger</t>
  </si>
  <si>
    <t>Rate ID</t>
  </si>
  <si>
    <t xml:space="preserve">     Updated 9-8-2019</t>
  </si>
  <si>
    <t xml:space="preserve">List of </t>
  </si>
  <si>
    <t>Deliverables</t>
  </si>
  <si>
    <t>Subtask Number</t>
  </si>
  <si>
    <t>Keith Silcock</t>
  </si>
  <si>
    <t>Shaleen Gearhart</t>
  </si>
  <si>
    <t>Mikhail Mayers</t>
  </si>
  <si>
    <t>Bill Fox Jr.</t>
  </si>
  <si>
    <t>Jason Smesrud</t>
  </si>
  <si>
    <t>Mark Madison</t>
  </si>
  <si>
    <t>Melinda Tam</t>
  </si>
  <si>
    <t>Tim Hill</t>
  </si>
  <si>
    <t>James Gorham</t>
  </si>
  <si>
    <t>Aaron Willis</t>
  </si>
  <si>
    <t>Jeff Friesen</t>
  </si>
  <si>
    <t>Marie (Quitterie) Cotton</t>
  </si>
  <si>
    <t>Richard (Dick) Haapala</t>
  </si>
  <si>
    <t>Gary Santolo</t>
  </si>
  <si>
    <t>Vanessa McCowan</t>
  </si>
  <si>
    <t>Travis Laney</t>
  </si>
  <si>
    <t>Principal Professional II</t>
  </si>
  <si>
    <t>Principal Professional I</t>
  </si>
  <si>
    <t>Senior Professional II</t>
  </si>
  <si>
    <t>Senior Professional I</t>
  </si>
  <si>
    <t>Project Professional I</t>
  </si>
  <si>
    <t>Associate Professional II</t>
  </si>
  <si>
    <t>Associate Professional I</t>
  </si>
  <si>
    <t>Staff Professional II</t>
  </si>
  <si>
    <t>Ken Ortega</t>
  </si>
  <si>
    <t>Danielle Chupa</t>
  </si>
  <si>
    <t>David Garza</t>
  </si>
  <si>
    <t>Ian Cesario</t>
  </si>
  <si>
    <t>Joe Villa</t>
  </si>
  <si>
    <t>Margarita Rodriguez</t>
  </si>
  <si>
    <t>Program Administrator</t>
  </si>
  <si>
    <t>Program Manager III</t>
  </si>
  <si>
    <t>Design Manager II</t>
  </si>
  <si>
    <t>Engineer II</t>
  </si>
  <si>
    <t>Regulatory Advisor</t>
  </si>
  <si>
    <t>Field Monitoring III</t>
  </si>
  <si>
    <t>Design Manager I</t>
  </si>
  <si>
    <t>Engineer I</t>
  </si>
  <si>
    <t>Field Monitoring I</t>
  </si>
  <si>
    <t>Frank Anderson</t>
  </si>
  <si>
    <t>Travis Longcore</t>
  </si>
  <si>
    <t>Adriana Delucchi</t>
  </si>
  <si>
    <t>Karri Peters</t>
  </si>
  <si>
    <t>Principal Scientist 2</t>
  </si>
  <si>
    <t>Principal Scientist 1</t>
  </si>
  <si>
    <t>Project Ecologist</t>
  </si>
  <si>
    <t>Staff 2 Scientist</t>
  </si>
  <si>
    <t>Kenney Geoscience</t>
  </si>
  <si>
    <t>Yellobee</t>
  </si>
  <si>
    <t>M2 Resources</t>
  </si>
  <si>
    <t>CH2M</t>
  </si>
  <si>
    <t>GSI</t>
  </si>
  <si>
    <t>Towill</t>
  </si>
  <si>
    <t>Zephyr USA</t>
  </si>
  <si>
    <t>Bridgewater</t>
  </si>
  <si>
    <t>Univ Of Utah</t>
  </si>
  <si>
    <t>Univ Of California</t>
  </si>
  <si>
    <t>Name</t>
  </si>
  <si>
    <t>LABOR RATES BY INDIVIDUAL AND COMPANY FOR YEAR:</t>
  </si>
  <si>
    <t>TRAVEL RATES FOR YEAR:</t>
  </si>
  <si>
    <t>Ann Sihler LLC</t>
  </si>
  <si>
    <t>Amy Coulter LLC</t>
  </si>
  <si>
    <t>General consulting assistance</t>
  </si>
  <si>
    <t>Los Angeles</t>
  </si>
  <si>
    <t>Miscellaneous</t>
  </si>
  <si>
    <t>Technical memorandum on GR</t>
  </si>
  <si>
    <t>Consulting Services</t>
  </si>
  <si>
    <t>3-page technical memorandum describing the shortcomings of Special Relativity.</t>
  </si>
  <si>
    <t>One, 3-day trip to LA to meet with DWP</t>
  </si>
  <si>
    <t>Task Order No. 1 Mod 0: General Consulting Services</t>
  </si>
  <si>
    <t>Agreement No. 47557A, Project No. 600</t>
  </si>
  <si>
    <t>Effective Period: 10/01/19-10/31/19</t>
  </si>
  <si>
    <t>.</t>
  </si>
  <si>
    <t>Monitoring Services</t>
  </si>
  <si>
    <t>Installation</t>
  </si>
  <si>
    <t>Data Services</t>
  </si>
  <si>
    <t>Reporting</t>
  </si>
  <si>
    <t>Monthly Reports</t>
  </si>
  <si>
    <t>Data collection code repository</t>
  </si>
  <si>
    <t>Vacation to relax</t>
  </si>
  <si>
    <t>San Diego</t>
  </si>
  <si>
    <t>Stuff</t>
  </si>
  <si>
    <t>1.10</t>
  </si>
  <si>
    <t>2.1</t>
  </si>
  <si>
    <t>2.2</t>
  </si>
  <si>
    <t>2.3</t>
  </si>
  <si>
    <t>2.4</t>
  </si>
  <si>
    <t>2.5</t>
  </si>
  <si>
    <t>2.6</t>
  </si>
  <si>
    <t>2.7</t>
  </si>
  <si>
    <t>2.8</t>
  </si>
  <si>
    <t>2.9</t>
  </si>
  <si>
    <t>2.10</t>
  </si>
  <si>
    <t>3.1</t>
  </si>
  <si>
    <t>3.2</t>
  </si>
  <si>
    <t>3.3</t>
  </si>
  <si>
    <t>3.4</t>
  </si>
  <si>
    <t>3.5</t>
  </si>
  <si>
    <t>3.6</t>
  </si>
  <si>
    <t>3.7</t>
  </si>
  <si>
    <t>3.8</t>
  </si>
  <si>
    <t>3.9</t>
  </si>
  <si>
    <t>3.10</t>
  </si>
  <si>
    <t>4.1</t>
  </si>
  <si>
    <t>4.2</t>
  </si>
  <si>
    <t>4.3</t>
  </si>
  <si>
    <t>4.4</t>
  </si>
  <si>
    <t>4.5</t>
  </si>
  <si>
    <t>4.6</t>
  </si>
  <si>
    <t>4.7</t>
  </si>
  <si>
    <t>4.8</t>
  </si>
  <si>
    <t>4.9</t>
  </si>
  <si>
    <t>4.10</t>
  </si>
  <si>
    <t>5.1</t>
  </si>
  <si>
    <t>5.2</t>
  </si>
  <si>
    <t>5.3</t>
  </si>
  <si>
    <t>5.4</t>
  </si>
  <si>
    <t>5.5</t>
  </si>
  <si>
    <t>5.6</t>
  </si>
  <si>
    <t>5.7</t>
  </si>
  <si>
    <t>5.8</t>
  </si>
  <si>
    <t>5.9</t>
  </si>
  <si>
    <t>5.10</t>
  </si>
  <si>
    <t>6.1</t>
  </si>
  <si>
    <t>6.2</t>
  </si>
  <si>
    <t>6.3</t>
  </si>
  <si>
    <t>6.4</t>
  </si>
  <si>
    <t>6.5</t>
  </si>
  <si>
    <t>6.6</t>
  </si>
  <si>
    <t>6.7</t>
  </si>
  <si>
    <t>6.8</t>
  </si>
  <si>
    <t>6.9</t>
  </si>
  <si>
    <t>6.10</t>
  </si>
  <si>
    <t>7.1</t>
  </si>
  <si>
    <t>7.2</t>
  </si>
  <si>
    <t>7.3</t>
  </si>
  <si>
    <t>7.4</t>
  </si>
  <si>
    <t>7.5</t>
  </si>
  <si>
    <t>7.6</t>
  </si>
  <si>
    <t>7.7</t>
  </si>
  <si>
    <t>7.8</t>
  </si>
  <si>
    <t>7.9</t>
  </si>
  <si>
    <t>7.10</t>
  </si>
  <si>
    <t>8.1</t>
  </si>
  <si>
    <t>8.2</t>
  </si>
  <si>
    <t>8.3</t>
  </si>
  <si>
    <t>8.4</t>
  </si>
  <si>
    <t>8.5</t>
  </si>
  <si>
    <t>8.6</t>
  </si>
  <si>
    <t>8.7</t>
  </si>
  <si>
    <t>8.8</t>
  </si>
  <si>
    <t>8.9</t>
  </si>
  <si>
    <t>8.10</t>
  </si>
  <si>
    <t>9.1</t>
  </si>
  <si>
    <t>9.2</t>
  </si>
  <si>
    <t>9.3</t>
  </si>
  <si>
    <t>9.4</t>
  </si>
  <si>
    <t>9.5</t>
  </si>
  <si>
    <t>9.6</t>
  </si>
  <si>
    <t>9.7</t>
  </si>
  <si>
    <t>9.8</t>
  </si>
  <si>
    <t>9.9</t>
  </si>
  <si>
    <t>9.10</t>
  </si>
  <si>
    <t>Class</t>
  </si>
  <si>
    <t>Project Management</t>
  </si>
  <si>
    <t>AirSci-191001</t>
  </si>
  <si>
    <t>LIQ-191001</t>
  </si>
  <si>
    <t>Cord-191001</t>
  </si>
  <si>
    <t>CH2-190901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</si>
</sst>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
    <numFmt numFmtId="165" formatCode="&quot;$&quot;#,##0.00"/>
    <numFmt numFmtId="166" formatCode="@\ "/>
    <numFmt numFmtId="167" formatCode="\ \ @"/>
    <numFmt numFmtId="168" formatCode="\ \ \ \ \ \ \ \ @\ "/>
    <numFmt numFmtId="169" formatCode="\ @"/>
    <numFmt numFmtId="170" formatCode="mm/dd/yy_)"/>
    <numFmt numFmtId="171" formatCode="_(&quot;$&quot;* #,##0.000_);_(&quot;$&quot;* \(#,##0.000\);_(&quot;$&quot;* &quot;-&quot;??_);_(@_)"/>
    <numFmt numFmtId="172" formatCode="[$-409]mmmm\ d\,\ yyyy;@"/>
    <numFmt numFmtId="173" formatCode="_(&quot;$&quot;* #,##0_);_(&quot;$&quot;* \(#,##0\);_(&quot;$&quot;* &quot;-&quot;??_);_(@_)"/>
  </numFmts>
  <fonts count="84">
    <font>
      <sz val="10"/>
      <name val="Arial"/>
    </font>
    <font>
      <sz val="11"/>
      <color theme="1"/>
      <name val="Calibri"/>
      <family val="2"/>
      <scheme val="minor"/>
    </font>
    <font>
      <sz val="10"/>
      <name val="Arial"/>
      <family val="2"/>
    </font>
    <font>
      <sz val="8"/>
      <name val="Arial"/>
      <family val="2"/>
    </font>
    <font>
      <sz val="10"/>
      <name val="Helv"/>
    </font>
    <font>
      <b/>
      <sz val="14"/>
      <name val="Arial"/>
      <family val="2"/>
    </font>
    <font>
      <sz val="16"/>
      <name val="Arial"/>
      <family val="2"/>
    </font>
    <font>
      <b/>
      <sz val="10"/>
      <name val="Arial"/>
      <family val="2"/>
    </font>
    <font>
      <sz val="10"/>
      <color indexed="8"/>
      <name val="Arial"/>
      <family val="2"/>
    </font>
    <font>
      <sz val="12"/>
      <color indexed="12"/>
      <name val="Arial"/>
      <family val="2"/>
    </font>
    <font>
      <sz val="10"/>
      <name val="Arial"/>
      <family val="2"/>
    </font>
    <font>
      <sz val="10"/>
      <color indexed="8"/>
      <name val="Arial"/>
      <family val="2"/>
    </font>
    <font>
      <b/>
      <sz val="10"/>
      <color indexed="8"/>
      <name val="Arial"/>
      <family val="2"/>
    </font>
    <font>
      <b/>
      <sz val="10"/>
      <name val="Arial"/>
      <family val="2"/>
    </font>
    <font>
      <sz val="10"/>
      <color indexed="12"/>
      <name val="Arial"/>
      <family val="2"/>
    </font>
    <font>
      <sz val="8"/>
      <name val="Arial"/>
      <family val="2"/>
    </font>
    <font>
      <b/>
      <sz val="10"/>
      <color indexed="8"/>
      <name val="Arial"/>
      <family val="2"/>
    </font>
    <font>
      <sz val="8"/>
      <name val="MS Sans Serif"/>
      <family val="2"/>
    </font>
    <font>
      <sz val="12"/>
      <name val="Arial"/>
      <family val="2"/>
    </font>
    <font>
      <sz val="11"/>
      <name val="Arial"/>
      <family val="2"/>
    </font>
    <font>
      <sz val="10"/>
      <name val="MS Sans Serif"/>
      <family val="2"/>
    </font>
    <font>
      <sz val="14"/>
      <name val="Arial"/>
      <family val="2"/>
    </font>
    <font>
      <u/>
      <sz val="10"/>
      <name val="Arial"/>
      <family val="2"/>
    </font>
    <font>
      <sz val="10"/>
      <color indexed="9"/>
      <name val="Arial"/>
      <family val="2"/>
    </font>
    <font>
      <sz val="15"/>
      <name val="Arial"/>
      <family val="2"/>
    </font>
    <font>
      <sz val="10"/>
      <name val="MS Sans Serif"/>
      <family val="2"/>
    </font>
    <font>
      <b/>
      <sz val="12"/>
      <name val="Arial"/>
      <family val="2"/>
    </font>
    <font>
      <b/>
      <sz val="11"/>
      <name val="Arial"/>
      <family val="2"/>
    </font>
    <font>
      <sz val="11"/>
      <color theme="1"/>
      <name val="Calibri"/>
      <family val="2"/>
      <scheme val="minor"/>
    </font>
    <font>
      <sz val="8"/>
      <color rgb="FF7030A0"/>
      <name val="Arial"/>
      <family val="2"/>
    </font>
    <font>
      <b/>
      <sz val="11"/>
      <color rgb="FFC00000"/>
      <name val="Arial"/>
      <family val="2"/>
    </font>
    <font>
      <sz val="11"/>
      <color theme="1"/>
      <name val="Arial"/>
      <family val="2"/>
    </font>
    <font>
      <sz val="10"/>
      <color rgb="FF7030A0"/>
      <name val="Arial"/>
      <family val="2"/>
    </font>
    <font>
      <u/>
      <sz val="10"/>
      <color theme="10"/>
      <name val="Arial"/>
      <family val="2"/>
    </font>
    <font>
      <u/>
      <sz val="10"/>
      <color theme="11"/>
      <name val="Arial"/>
      <family val="2"/>
    </font>
    <font>
      <sz val="11"/>
      <color rgb="FF7030A0"/>
      <name val="Arial"/>
      <family val="2"/>
    </font>
    <font>
      <sz val="10"/>
      <color theme="1"/>
      <name val="Arial"/>
      <family val="2"/>
    </font>
    <font>
      <b/>
      <sz val="12"/>
      <color indexed="12"/>
      <name val="Arial"/>
      <family val="2"/>
    </font>
    <font>
      <sz val="9"/>
      <color indexed="14"/>
      <name val="Arial"/>
      <family val="2"/>
    </font>
    <font>
      <u/>
      <sz val="10"/>
      <color indexed="14"/>
      <name val="Arial"/>
      <family val="2"/>
    </font>
    <font>
      <u/>
      <sz val="9"/>
      <name val="Arial"/>
      <family val="2"/>
    </font>
    <font>
      <u/>
      <sz val="9"/>
      <color indexed="14"/>
      <name val="Arial"/>
      <family val="2"/>
    </font>
    <font>
      <u/>
      <sz val="10"/>
      <color indexed="12"/>
      <name val="Arial"/>
      <family val="2"/>
    </font>
    <font>
      <b/>
      <sz val="10"/>
      <color indexed="9"/>
      <name val="Arial"/>
      <family val="2"/>
    </font>
    <font>
      <b/>
      <sz val="8"/>
      <name val="Arial"/>
      <family val="2"/>
    </font>
    <font>
      <b/>
      <sz val="12"/>
      <color indexed="9"/>
      <name val="Arial"/>
      <family val="2"/>
    </font>
    <font>
      <b/>
      <sz val="12"/>
      <color indexed="10"/>
      <name val="Arial"/>
      <family val="2"/>
    </font>
    <font>
      <u/>
      <sz val="10"/>
      <color indexed="10"/>
      <name val="Arial"/>
      <family val="2"/>
    </font>
    <font>
      <b/>
      <sz val="10"/>
      <color theme="1"/>
      <name val="Arial"/>
      <family val="2"/>
    </font>
    <font>
      <sz val="15"/>
      <color rgb="FFC00000"/>
      <name val="Arial"/>
      <family val="2"/>
    </font>
    <font>
      <sz val="16"/>
      <color rgb="FFC00000"/>
      <name val="Arial"/>
      <family val="2"/>
    </font>
    <font>
      <b/>
      <sz val="15"/>
      <name val="Arial"/>
      <family val="2"/>
    </font>
    <font>
      <b/>
      <sz val="16"/>
      <name val="Arial"/>
      <family val="2"/>
    </font>
    <font>
      <b/>
      <sz val="15"/>
      <color theme="1"/>
      <name val="Arial"/>
      <family val="2"/>
    </font>
    <font>
      <sz val="10"/>
      <name val="Arial Unicode MS"/>
      <family val="2"/>
    </font>
    <font>
      <sz val="10"/>
      <color rgb="FF000000"/>
      <name val="Arial"/>
      <family val="2"/>
    </font>
    <font>
      <b/>
      <sz val="10"/>
      <color rgb="FFFF0000"/>
      <name val="Arial"/>
      <family val="2"/>
    </font>
    <font>
      <b/>
      <sz val="10"/>
      <color rgb="FF3333CC"/>
      <name val="Arial"/>
      <family val="2"/>
    </font>
    <font>
      <b/>
      <sz val="10"/>
      <color theme="0"/>
      <name val="Arial"/>
      <family val="2"/>
    </font>
    <font>
      <b/>
      <sz val="16"/>
      <name val="Arial"/>
      <family val="2"/>
    </font>
    <font>
      <sz val="10"/>
      <name val="Arial"/>
      <family val="2"/>
    </font>
    <font>
      <b/>
      <sz val="15"/>
      <name val="Arial"/>
      <family val="2"/>
    </font>
    <font>
      <b/>
      <sz val="12"/>
      <color indexed="9"/>
      <name val="Arial"/>
      <family val="2"/>
    </font>
    <font>
      <sz val="12"/>
      <color indexed="9"/>
      <name val="Arial"/>
      <family val="2"/>
    </font>
    <font>
      <b/>
      <sz val="12"/>
      <color indexed="12"/>
      <name val="Arial"/>
      <family val="2"/>
    </font>
    <font>
      <sz val="10"/>
      <color indexed="12"/>
      <name val="Arial"/>
      <family val="2"/>
    </font>
    <font>
      <sz val="10"/>
      <color indexed="14"/>
      <name val="Arial"/>
      <family val="2"/>
    </font>
    <font>
      <sz val="9"/>
      <color indexed="14"/>
      <name val="Arial"/>
      <family val="2"/>
    </font>
    <font>
      <b/>
      <sz val="10"/>
      <name val="Arial"/>
      <family val="2"/>
    </font>
    <font>
      <sz val="10"/>
      <color rgb="FF7030A0"/>
      <name val="Arial"/>
      <family val="2"/>
    </font>
    <font>
      <sz val="8.5"/>
      <color rgb="FF7030A0"/>
      <name val="Arial"/>
      <family val="2"/>
    </font>
    <font>
      <sz val="10"/>
      <name val="Arial"/>
      <family val="2"/>
    </font>
    <font>
      <b/>
      <sz val="10"/>
      <name val="Arial"/>
      <family val="2"/>
    </font>
    <font>
      <b/>
      <sz val="15"/>
      <color rgb="FFC00000"/>
      <name val="Arial"/>
      <family val="2"/>
    </font>
    <font>
      <sz val="8"/>
      <color rgb="FF7030A0"/>
      <name val="Arial"/>
      <family val="2"/>
    </font>
    <font>
      <sz val="8"/>
      <color rgb="FFFF0000"/>
      <name val="Arial"/>
      <family val="2"/>
    </font>
    <font>
      <b/>
      <sz val="16"/>
      <name val="Arial"/>
      <family val="2"/>
    </font>
    <font>
      <b/>
      <sz val="11"/>
      <name val="Arial"/>
      <family val="2"/>
    </font>
    <font>
      <sz val="11"/>
      <name val="Arial"/>
      <family val="2"/>
    </font>
    <font>
      <sz val="9"/>
      <color rgb="FF0070C0"/>
      <name val="Calibri"/>
      <family val="2"/>
      <scheme val="minor"/>
    </font>
    <font>
      <b/>
      <sz val="15"/>
      <name val="Arial"/>
      <family val="2"/>
    </font>
    <font>
      <sz val="9"/>
      <color rgb="FF7030A0"/>
      <name val="Arial"/>
      <family val="2"/>
    </font>
    <font>
      <sz val="11"/>
      <color rgb="FF000000"/>
      <name val="Calibri"/>
      <family val="2"/>
    </font>
    <font>
      <sz val="10"/>
      <color rgb="FFC00000"/>
      <name val="Arial"/>
      <family val="2"/>
    </font>
  </fonts>
  <fills count="11">
    <fill>
      <patternFill patternType="none"/>
    </fill>
    <fill>
      <patternFill patternType="gray125"/>
    </fill>
    <fill>
      <patternFill patternType="solid">
        <fgColor indexed="26"/>
        <bgColor indexed="64"/>
      </patternFill>
    </fill>
    <fill>
      <patternFill patternType="solid">
        <fgColor indexed="9"/>
        <bgColor indexed="64"/>
      </patternFill>
    </fill>
    <fill>
      <patternFill patternType="solid">
        <fgColor indexed="8"/>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0" tint="-4.9989318521683403E-2"/>
        <bgColor indexed="64"/>
      </patternFill>
    </fill>
    <fill>
      <patternFill patternType="solid">
        <fgColor theme="4" tint="0.79998168889431442"/>
        <bgColor indexed="64"/>
      </patternFill>
    </fill>
  </fills>
  <borders count="126">
    <border>
      <left/>
      <right/>
      <top/>
      <bottom/>
      <diagonal/>
    </border>
    <border>
      <left/>
      <right style="double">
        <color auto="1"/>
      </right>
      <top style="double">
        <color auto="1"/>
      </top>
      <bottom/>
      <diagonal/>
    </border>
    <border>
      <left/>
      <right style="double">
        <color auto="1"/>
      </right>
      <top style="double">
        <color auto="1"/>
      </top>
      <bottom style="double">
        <color auto="1"/>
      </bottom>
      <diagonal/>
    </border>
    <border>
      <left/>
      <right style="thin">
        <color auto="1"/>
      </right>
      <top/>
      <bottom style="thin">
        <color auto="1"/>
      </bottom>
      <diagonal/>
    </border>
    <border>
      <left/>
      <right/>
      <top/>
      <bottom style="double">
        <color auto="1"/>
      </bottom>
      <diagonal/>
    </border>
    <border>
      <left/>
      <right style="double">
        <color auto="1"/>
      </right>
      <top/>
      <bottom style="double">
        <color auto="1"/>
      </bottom>
      <diagonal/>
    </border>
    <border>
      <left style="thin">
        <color auto="1"/>
      </left>
      <right style="double">
        <color auto="1"/>
      </right>
      <top/>
      <bottom style="thin">
        <color auto="1"/>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double">
        <color auto="1"/>
      </top>
      <bottom style="double">
        <color auto="1"/>
      </bottom>
      <diagonal/>
    </border>
    <border>
      <left/>
      <right/>
      <top style="thin">
        <color auto="1"/>
      </top>
      <bottom style="thin">
        <color auto="1"/>
      </bottom>
      <diagonal/>
    </border>
    <border>
      <left style="thin">
        <color auto="1"/>
      </left>
      <right style="double">
        <color auto="1"/>
      </right>
      <top/>
      <bottom/>
      <diagonal/>
    </border>
    <border>
      <left style="thin">
        <color auto="1"/>
      </left>
      <right style="thin">
        <color auto="1"/>
      </right>
      <top/>
      <bottom style="thin">
        <color auto="1"/>
      </bottom>
      <diagonal/>
    </border>
    <border>
      <left/>
      <right style="medium">
        <color auto="1"/>
      </right>
      <top/>
      <bottom style="hair">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double">
        <color auto="1"/>
      </right>
      <top/>
      <bottom/>
      <diagonal/>
    </border>
    <border>
      <left style="double">
        <color auto="1"/>
      </left>
      <right/>
      <top/>
      <bottom/>
      <diagonal/>
    </border>
    <border>
      <left style="double">
        <color auto="1"/>
      </left>
      <right/>
      <top style="double">
        <color auto="1"/>
      </top>
      <bottom/>
      <diagonal/>
    </border>
    <border>
      <left/>
      <right/>
      <top style="double">
        <color auto="1"/>
      </top>
      <bottom/>
      <diagonal/>
    </border>
    <border>
      <left style="thin">
        <color auto="1"/>
      </left>
      <right style="thin">
        <color auto="1"/>
      </right>
      <top style="double">
        <color auto="1"/>
      </top>
      <bottom/>
      <diagonal/>
    </border>
    <border>
      <left style="thin">
        <color indexed="8"/>
      </left>
      <right style="double">
        <color auto="1"/>
      </right>
      <top style="double">
        <color auto="1"/>
      </top>
      <bottom/>
      <diagonal/>
    </border>
    <border>
      <left style="double">
        <color auto="1"/>
      </left>
      <right/>
      <top/>
      <bottom style="medium">
        <color auto="1"/>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medium">
        <color auto="1"/>
      </bottom>
      <diagonal/>
    </border>
    <border>
      <left style="thin">
        <color indexed="8"/>
      </left>
      <right style="double">
        <color auto="1"/>
      </right>
      <top/>
      <bottom style="medium">
        <color auto="1"/>
      </bottom>
      <diagonal/>
    </border>
    <border>
      <left style="double">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bottom style="hair">
        <color auto="1"/>
      </bottom>
      <diagonal/>
    </border>
    <border>
      <left style="thin">
        <color auto="1"/>
      </left>
      <right style="thin">
        <color auto="1"/>
      </right>
      <top style="double">
        <color auto="1"/>
      </top>
      <bottom style="double">
        <color auto="1"/>
      </bottom>
      <diagonal/>
    </border>
    <border>
      <left/>
      <right style="thin">
        <color auto="1"/>
      </right>
      <top style="double">
        <color auto="1"/>
      </top>
      <bottom style="double">
        <color auto="1"/>
      </bottom>
      <diagonal/>
    </border>
    <border>
      <left style="thin">
        <color auto="1"/>
      </left>
      <right style="thin">
        <color auto="1"/>
      </right>
      <top style="hair">
        <color auto="1"/>
      </top>
      <bottom style="hair">
        <color auto="1"/>
      </bottom>
      <diagonal/>
    </border>
    <border>
      <left/>
      <right/>
      <top style="medium">
        <color auto="1"/>
      </top>
      <bottom style="thin">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style="medium">
        <color auto="1"/>
      </top>
      <bottom/>
      <diagonal/>
    </border>
    <border>
      <left/>
      <right style="medium">
        <color auto="1"/>
      </right>
      <top style="medium">
        <color auto="1"/>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bottom/>
      <diagonal/>
    </border>
    <border>
      <left/>
      <right style="medium">
        <color auto="1"/>
      </right>
      <top/>
      <bottom/>
      <diagonal/>
    </border>
    <border>
      <left/>
      <right style="thin">
        <color auto="1"/>
      </right>
      <top/>
      <bottom style="medium">
        <color auto="1"/>
      </bottom>
      <diagonal/>
    </border>
    <border>
      <left style="medium">
        <color auto="1"/>
      </left>
      <right style="thin">
        <color auto="1"/>
      </right>
      <top/>
      <bottom style="medium">
        <color auto="1"/>
      </bottom>
      <diagonal/>
    </border>
    <border>
      <left/>
      <right style="thin">
        <color auto="1"/>
      </right>
      <top/>
      <bottom style="hair">
        <color auto="1"/>
      </bottom>
      <diagonal/>
    </border>
    <border>
      <left style="thin">
        <color auto="1"/>
      </left>
      <right style="thin">
        <color auto="1"/>
      </right>
      <top/>
      <bottom style="hair">
        <color auto="1"/>
      </bottom>
      <diagonal/>
    </border>
    <border>
      <left style="medium">
        <color auto="1"/>
      </left>
      <right style="thin">
        <color auto="1"/>
      </right>
      <top/>
      <bottom style="hair">
        <color auto="1"/>
      </bottom>
      <diagonal/>
    </border>
    <border>
      <left/>
      <right style="thin">
        <color auto="1"/>
      </right>
      <top style="hair">
        <color auto="1"/>
      </top>
      <bottom/>
      <diagonal/>
    </border>
    <border>
      <left style="thin">
        <color auto="1"/>
      </left>
      <right style="thin">
        <color auto="1"/>
      </right>
      <top style="hair">
        <color auto="1"/>
      </top>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double">
        <color auto="1"/>
      </top>
      <bottom/>
      <diagonal/>
    </border>
    <border>
      <left style="medium">
        <color auto="1"/>
      </left>
      <right/>
      <top style="double">
        <color auto="1"/>
      </top>
      <bottom style="medium">
        <color auto="1"/>
      </bottom>
      <diagonal/>
    </border>
    <border>
      <left/>
      <right/>
      <top style="medium">
        <color auto="1"/>
      </top>
      <bottom/>
      <diagonal/>
    </border>
    <border>
      <left style="medium">
        <color auto="1"/>
      </left>
      <right/>
      <top/>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style="medium">
        <color auto="1"/>
      </left>
      <right/>
      <top style="medium">
        <color auto="1"/>
      </top>
      <bottom/>
      <diagonal/>
    </border>
    <border>
      <left style="double">
        <color auto="1"/>
      </left>
      <right/>
      <top/>
      <bottom style="hair">
        <color auto="1"/>
      </bottom>
      <diagonal/>
    </border>
    <border>
      <left style="medium">
        <color auto="1"/>
      </left>
      <right/>
      <top/>
      <bottom style="medium">
        <color auto="1"/>
      </bottom>
      <diagonal/>
    </border>
    <border>
      <left style="thin">
        <color auto="1"/>
      </left>
      <right style="double">
        <color auto="1"/>
      </right>
      <top/>
      <bottom style="double">
        <color auto="1"/>
      </bottom>
      <diagonal/>
    </border>
    <border>
      <left/>
      <right style="thin">
        <color auto="1"/>
      </right>
      <top style="double">
        <color auto="1"/>
      </top>
      <bottom style="thin">
        <color auto="1"/>
      </bottom>
      <diagonal/>
    </border>
    <border>
      <left style="double">
        <color auto="1"/>
      </left>
      <right/>
      <top/>
      <bottom style="double">
        <color auto="1"/>
      </bottom>
      <diagonal/>
    </border>
    <border>
      <left style="thin">
        <color auto="1"/>
      </left>
      <right style="medium">
        <color auto="1"/>
      </right>
      <top style="thin">
        <color auto="1"/>
      </top>
      <bottom/>
      <diagonal/>
    </border>
    <border>
      <left/>
      <right style="thin">
        <color auto="1"/>
      </right>
      <top/>
      <bottom style="double">
        <color auto="1"/>
      </bottom>
      <diagonal/>
    </border>
    <border>
      <left style="double">
        <color auto="1"/>
      </left>
      <right/>
      <top style="double">
        <color auto="1"/>
      </top>
      <bottom style="double">
        <color auto="1"/>
      </bottom>
      <diagonal/>
    </border>
    <border>
      <left/>
      <right style="thin">
        <color auto="1"/>
      </right>
      <top style="thin">
        <color auto="1"/>
      </top>
      <bottom/>
      <diagonal/>
    </border>
    <border>
      <left style="double">
        <color auto="1"/>
      </left>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style="thin">
        <color auto="1"/>
      </left>
      <right style="thin">
        <color auto="1"/>
      </right>
      <top style="thin">
        <color auto="1"/>
      </top>
      <bottom style="double">
        <color auto="1"/>
      </bottom>
      <diagonal/>
    </border>
    <border>
      <left/>
      <right style="thin">
        <color auto="1"/>
      </right>
      <top style="double">
        <color auto="1"/>
      </top>
      <bottom/>
      <diagonal/>
    </border>
    <border>
      <left/>
      <right/>
      <top style="double">
        <color auto="1"/>
      </top>
      <bottom style="medium">
        <color auto="1"/>
      </bottom>
      <diagonal/>
    </border>
    <border>
      <left/>
      <right style="medium">
        <color auto="1"/>
      </right>
      <top style="double">
        <color auto="1"/>
      </top>
      <bottom style="medium">
        <color auto="1"/>
      </bottom>
      <diagonal/>
    </border>
    <border>
      <left style="medium">
        <color auto="1"/>
      </left>
      <right style="thin">
        <color auto="1"/>
      </right>
      <top style="medium">
        <color auto="1"/>
      </top>
      <bottom style="hair">
        <color auto="1"/>
      </bottom>
      <diagonal/>
    </border>
    <border>
      <left style="thin">
        <color auto="1"/>
      </left>
      <right/>
      <top style="thin">
        <color auto="1"/>
      </top>
      <bottom style="hair">
        <color auto="1"/>
      </bottom>
      <diagonal/>
    </border>
    <border>
      <left style="thin">
        <color auto="1"/>
      </left>
      <right/>
      <top style="thin">
        <color auto="1"/>
      </top>
      <bottom style="thin">
        <color auto="1"/>
      </bottom>
      <diagonal/>
    </border>
    <border>
      <left/>
      <right style="thin">
        <color auto="1"/>
      </right>
      <top style="medium">
        <color auto="1"/>
      </top>
      <bottom style="thin">
        <color auto="1"/>
      </bottom>
      <diagonal/>
    </border>
    <border>
      <left/>
      <right/>
      <top style="double">
        <color auto="1"/>
      </top>
      <bottom style="thin">
        <color indexed="8"/>
      </bottom>
      <diagonal/>
    </border>
    <border>
      <left style="medium">
        <color indexed="8"/>
      </left>
      <right/>
      <top style="double">
        <color auto="1"/>
      </top>
      <bottom style="thin">
        <color indexed="8"/>
      </bottom>
      <diagonal/>
    </border>
    <border>
      <left style="thin">
        <color auto="1"/>
      </left>
      <right style="double">
        <color auto="1"/>
      </right>
      <top/>
      <bottom style="hair">
        <color auto="1"/>
      </bottom>
      <diagonal/>
    </border>
    <border>
      <left style="thin">
        <color auto="1"/>
      </left>
      <right style="medium">
        <color auto="1"/>
      </right>
      <top/>
      <bottom style="thin">
        <color auto="1"/>
      </bottom>
      <diagonal/>
    </border>
    <border>
      <left style="thin">
        <color auto="1"/>
      </left>
      <right/>
      <top/>
      <bottom/>
      <diagonal/>
    </border>
    <border>
      <left style="thin">
        <color auto="1"/>
      </left>
      <right style="medium">
        <color auto="1"/>
      </right>
      <top/>
      <bottom/>
      <diagonal/>
    </border>
    <border>
      <left style="thin">
        <color auto="1"/>
      </left>
      <right style="medium">
        <color auto="1"/>
      </right>
      <top style="thin">
        <color auto="1"/>
      </top>
      <bottom style="medium">
        <color auto="1"/>
      </bottom>
      <diagonal/>
    </border>
    <border>
      <left style="thin">
        <color auto="1"/>
      </left>
      <right style="thin">
        <color auto="1"/>
      </right>
      <top/>
      <bottom style="double">
        <color auto="1"/>
      </bottom>
      <diagonal/>
    </border>
    <border>
      <left/>
      <right style="thin">
        <color auto="1"/>
      </right>
      <top style="thin">
        <color auto="1"/>
      </top>
      <bottom style="medium">
        <color auto="1"/>
      </bottom>
      <diagonal/>
    </border>
    <border>
      <left style="double">
        <color auto="1"/>
      </left>
      <right/>
      <top style="double">
        <color auto="1"/>
      </top>
      <bottom style="medium">
        <color auto="1"/>
      </bottom>
      <diagonal/>
    </border>
    <border>
      <left/>
      <right style="double">
        <color auto="1"/>
      </right>
      <top style="double">
        <color auto="1"/>
      </top>
      <bottom style="medium">
        <color auto="1"/>
      </bottom>
      <diagonal/>
    </border>
    <border>
      <left style="thin">
        <color auto="1"/>
      </left>
      <right style="double">
        <color auto="1"/>
      </right>
      <top style="thin">
        <color auto="1"/>
      </top>
      <bottom style="thin">
        <color auto="1"/>
      </bottom>
      <diagonal/>
    </border>
    <border>
      <left style="double">
        <color auto="1"/>
      </left>
      <right style="thin">
        <color auto="1"/>
      </right>
      <top/>
      <bottom style="double">
        <color auto="1"/>
      </bottom>
      <diagonal/>
    </border>
    <border>
      <left style="double">
        <color auto="1"/>
      </left>
      <right style="thin">
        <color auto="1"/>
      </right>
      <top/>
      <bottom/>
      <diagonal/>
    </border>
    <border>
      <left style="double">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thin">
        <color auto="1"/>
      </left>
      <right style="double">
        <color auto="1"/>
      </right>
      <top style="double">
        <color auto="1"/>
      </top>
      <bottom style="thin">
        <color auto="1"/>
      </bottom>
      <diagonal/>
    </border>
    <border>
      <left style="medium">
        <color auto="1"/>
      </left>
      <right style="medium">
        <color auto="1"/>
      </right>
      <top style="medium">
        <color auto="1"/>
      </top>
      <bottom style="medium">
        <color auto="1"/>
      </bottom>
      <diagonal/>
    </border>
    <border>
      <left style="double">
        <color auto="1"/>
      </left>
      <right style="medium">
        <color auto="1"/>
      </right>
      <top/>
      <bottom/>
      <diagonal/>
    </border>
    <border>
      <left style="double">
        <color auto="1"/>
      </left>
      <right style="medium">
        <color auto="1"/>
      </right>
      <top/>
      <bottom style="medium">
        <color auto="1"/>
      </bottom>
      <diagonal/>
    </border>
    <border>
      <left style="double">
        <color auto="1"/>
      </left>
      <right style="thin">
        <color auto="1"/>
      </right>
      <top style="medium">
        <color auto="1"/>
      </top>
      <bottom/>
      <diagonal/>
    </border>
    <border>
      <left style="thin">
        <color auto="1"/>
      </left>
      <right style="double">
        <color auto="1"/>
      </right>
      <top/>
      <bottom style="medium">
        <color auto="1"/>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n">
        <color auto="1"/>
      </left>
      <right style="double">
        <color auto="1"/>
      </right>
      <top style="double">
        <color auto="1"/>
      </top>
      <bottom style="double">
        <color auto="1"/>
      </bottom>
      <diagonal/>
    </border>
    <border>
      <left/>
      <right/>
      <top style="double">
        <color auto="1"/>
      </top>
      <bottom style="thin">
        <color auto="1"/>
      </bottom>
      <diagonal/>
    </border>
    <border>
      <left/>
      <right style="thin">
        <color auto="1"/>
      </right>
      <top style="thin">
        <color auto="1"/>
      </top>
      <bottom style="hair">
        <color auto="1"/>
      </bottom>
      <diagonal/>
    </border>
    <border>
      <left style="double">
        <color auto="1"/>
      </left>
      <right style="thin">
        <color auto="1"/>
      </right>
      <top style="double">
        <color auto="1"/>
      </top>
      <bottom/>
      <diagonal/>
    </border>
    <border>
      <left style="thin">
        <color auto="1"/>
      </left>
      <right style="double">
        <color auto="1"/>
      </right>
      <top style="double">
        <color auto="1"/>
      </top>
      <bottom/>
      <diagonal/>
    </border>
    <border>
      <left/>
      <right style="double">
        <color auto="1"/>
      </right>
      <top style="double">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double">
        <color auto="1"/>
      </left>
      <right style="double">
        <color auto="1"/>
      </right>
      <top style="thin">
        <color auto="1"/>
      </top>
      <bottom style="double">
        <color auto="1"/>
      </bottom>
      <diagonal/>
    </border>
    <border>
      <left style="thin">
        <color auto="1"/>
      </left>
      <right/>
      <top/>
      <bottom style="thin">
        <color auto="1"/>
      </bottom>
      <diagonal/>
    </border>
    <border>
      <left/>
      <right style="thin">
        <color indexed="64"/>
      </right>
      <top style="thin">
        <color auto="1"/>
      </top>
      <bottom style="double">
        <color auto="1"/>
      </bottom>
      <diagonal/>
    </border>
    <border>
      <left/>
      <right style="double">
        <color auto="1"/>
      </right>
      <top style="thin">
        <color auto="1"/>
      </top>
      <bottom style="double">
        <color auto="1"/>
      </bottom>
      <diagonal/>
    </border>
    <border>
      <left style="double">
        <color auto="1"/>
      </left>
      <right/>
      <top style="double">
        <color auto="1"/>
      </top>
      <bottom style="hair">
        <color auto="1"/>
      </bottom>
      <diagonal/>
    </border>
    <border>
      <left/>
      <right style="thin">
        <color auto="1"/>
      </right>
      <top style="double">
        <color auto="1"/>
      </top>
      <bottom style="hair">
        <color auto="1"/>
      </bottom>
      <diagonal/>
    </border>
    <border>
      <left/>
      <right/>
      <top style="double">
        <color auto="1"/>
      </top>
      <bottom style="hair">
        <color auto="1"/>
      </bottom>
      <diagonal/>
    </border>
    <border>
      <left style="thin">
        <color auto="1"/>
      </left>
      <right style="double">
        <color auto="1"/>
      </right>
      <top style="medium">
        <color auto="1"/>
      </top>
      <bottom style="thin">
        <color auto="1"/>
      </bottom>
      <diagonal/>
    </border>
    <border>
      <left style="double">
        <color auto="1"/>
      </left>
      <right style="thin">
        <color indexed="64"/>
      </right>
      <top/>
      <bottom style="thin">
        <color auto="1"/>
      </bottom>
      <diagonal/>
    </border>
  </borders>
  <cellStyleXfs count="38">
    <xf numFmtId="0" fontId="0" fillId="0" borderId="0"/>
    <xf numFmtId="43" fontId="2" fillId="0" borderId="0" applyFont="0" applyFill="0" applyBorder="0" applyAlignment="0" applyProtection="0"/>
    <xf numFmtId="43" fontId="28"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8" fontId="20" fillId="0" borderId="0" applyFont="0" applyFill="0" applyBorder="0" applyAlignment="0" applyProtection="0"/>
    <xf numFmtId="0" fontId="2" fillId="0" borderId="0"/>
    <xf numFmtId="0" fontId="2" fillId="0" borderId="0"/>
    <xf numFmtId="0" fontId="2" fillId="0" borderId="0"/>
    <xf numFmtId="0" fontId="28" fillId="0" borderId="0"/>
    <xf numFmtId="0" fontId="2" fillId="0" borderId="0"/>
    <xf numFmtId="172" fontId="2" fillId="0" borderId="0"/>
    <xf numFmtId="0" fontId="2" fillId="0" borderId="0"/>
    <xf numFmtId="0" fontId="28" fillId="0" borderId="0"/>
    <xf numFmtId="0" fontId="2" fillId="0" borderId="0"/>
    <xf numFmtId="0" fontId="20" fillId="0" borderId="0"/>
    <xf numFmtId="0" fontId="4" fillId="0" borderId="0"/>
    <xf numFmtId="0" fontId="17" fillId="0" borderId="0"/>
    <xf numFmtId="0" fontId="4" fillId="0" borderId="0"/>
    <xf numFmtId="0" fontId="2" fillId="0" borderId="0"/>
    <xf numFmtId="0" fontId="2" fillId="0" borderId="0"/>
    <xf numFmtId="0" fontId="4" fillId="0" borderId="0"/>
    <xf numFmtId="0" fontId="17" fillId="0" borderId="0"/>
    <xf numFmtId="0" fontId="20" fillId="0" borderId="0"/>
    <xf numFmtId="0" fontId="25" fillId="0" borderId="0"/>
    <xf numFmtId="9" fontId="2" fillId="0" borderId="0" applyFont="0" applyFill="0" applyBorder="0" applyAlignment="0" applyProtection="0"/>
    <xf numFmtId="9" fontId="2" fillId="0" borderId="0" applyFont="0" applyFill="0" applyBorder="0" applyAlignment="0" applyProtection="0"/>
    <xf numFmtId="9" fontId="28" fillId="0" borderId="0" applyFont="0" applyFill="0" applyBorder="0" applyAlignment="0" applyProtection="0"/>
    <xf numFmtId="0" fontId="1" fillId="0" borderId="0"/>
    <xf numFmtId="44" fontId="1" fillId="0" borderId="0" applyFon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cellStyleXfs>
  <cellXfs count="720">
    <xf numFmtId="0" fontId="0" fillId="0" borderId="0" xfId="0"/>
    <xf numFmtId="1" fontId="9" fillId="0" borderId="0" xfId="16" applyNumberFormat="1" applyFont="1" applyFill="1" applyBorder="1" applyAlignment="1" applyProtection="1">
      <alignment horizontal="center" wrapText="1"/>
    </xf>
    <xf numFmtId="1" fontId="2" fillId="0" borderId="0" xfId="16" applyNumberFormat="1" applyFont="1" applyFill="1" applyAlignment="1" applyProtection="1">
      <alignment horizontal="center"/>
    </xf>
    <xf numFmtId="1" fontId="8" fillId="0" borderId="6" xfId="16" applyNumberFormat="1" applyFont="1" applyFill="1" applyBorder="1" applyAlignment="1" applyProtection="1">
      <alignment horizontal="center"/>
    </xf>
    <xf numFmtId="1" fontId="8" fillId="0" borderId="28" xfId="16" applyNumberFormat="1" applyFont="1" applyFill="1" applyBorder="1" applyAlignment="1" applyProtection="1">
      <alignment horizontal="center"/>
      <protection locked="0"/>
    </xf>
    <xf numFmtId="1" fontId="8" fillId="0" borderId="29" xfId="16" applyNumberFormat="1" applyFont="1" applyFill="1" applyBorder="1" applyAlignment="1" applyProtection="1">
      <alignment horizontal="center"/>
    </xf>
    <xf numFmtId="0" fontId="21" fillId="0" borderId="0" xfId="23" applyFont="1" applyFill="1" applyBorder="1" applyAlignment="1" applyProtection="1">
      <alignment horizontal="left"/>
      <protection locked="0"/>
    </xf>
    <xf numFmtId="0" fontId="22" fillId="0" borderId="0" xfId="21" applyFont="1" applyBorder="1" applyAlignment="1" applyProtection="1">
      <alignment horizontal="center"/>
    </xf>
    <xf numFmtId="0" fontId="24" fillId="0" borderId="0" xfId="23" applyFont="1" applyFill="1" applyAlignment="1" applyProtection="1">
      <alignment horizontal="left"/>
      <protection locked="0"/>
    </xf>
    <xf numFmtId="1" fontId="8" fillId="2" borderId="3" xfId="16" applyNumberFormat="1" applyFont="1" applyFill="1" applyBorder="1" applyAlignment="1" applyProtection="1">
      <alignment horizontal="center"/>
      <protection locked="0"/>
    </xf>
    <xf numFmtId="1" fontId="8" fillId="2" borderId="9" xfId="16" applyNumberFormat="1" applyFont="1" applyFill="1" applyBorder="1" applyAlignment="1" applyProtection="1">
      <alignment horizontal="center"/>
      <protection locked="0"/>
    </xf>
    <xf numFmtId="0" fontId="26" fillId="0" borderId="0" xfId="0" applyFont="1" applyAlignment="1"/>
    <xf numFmtId="0" fontId="18" fillId="0" borderId="0" xfId="0" applyFont="1"/>
    <xf numFmtId="49" fontId="7" fillId="0" borderId="68" xfId="16" applyNumberFormat="1" applyFont="1" applyBorder="1" applyAlignment="1" applyProtection="1">
      <alignment horizontal="center"/>
    </xf>
    <xf numFmtId="0" fontId="7" fillId="0" borderId="4" xfId="16" applyFont="1" applyBorder="1" applyAlignment="1" applyProtection="1"/>
    <xf numFmtId="0" fontId="7" fillId="0" borderId="4" xfId="16" applyNumberFormat="1" applyFont="1" applyBorder="1" applyAlignment="1" applyProtection="1">
      <alignment horizontal="left" wrapText="1"/>
    </xf>
    <xf numFmtId="0" fontId="19" fillId="0" borderId="0" xfId="0" applyFont="1" applyProtection="1">
      <protection locked="0"/>
    </xf>
    <xf numFmtId="44" fontId="19" fillId="0" borderId="0" xfId="3" applyFont="1" applyProtection="1">
      <protection locked="0"/>
    </xf>
    <xf numFmtId="0" fontId="19" fillId="0" borderId="0" xfId="19" applyFont="1" applyFill="1" applyProtection="1">
      <protection locked="0"/>
    </xf>
    <xf numFmtId="10" fontId="19" fillId="0" borderId="0" xfId="27" applyNumberFormat="1" applyFont="1" applyFill="1" applyProtection="1">
      <protection locked="0"/>
    </xf>
    <xf numFmtId="0" fontId="30" fillId="0" borderId="0" xfId="19" applyFont="1" applyFill="1" applyProtection="1"/>
    <xf numFmtId="0" fontId="19" fillId="0" borderId="0" xfId="0" applyFont="1" applyAlignment="1" applyProtection="1">
      <alignment wrapText="1"/>
      <protection locked="0"/>
    </xf>
    <xf numFmtId="44" fontId="19" fillId="0" borderId="0" xfId="3" applyFont="1" applyAlignment="1" applyProtection="1">
      <alignment horizontal="right" wrapText="1" indent="1"/>
      <protection locked="0"/>
    </xf>
    <xf numFmtId="0" fontId="19" fillId="0" borderId="0" xfId="19" applyFont="1" applyFill="1" applyAlignment="1" applyProtection="1">
      <alignment vertical="center"/>
      <protection locked="0"/>
    </xf>
    <xf numFmtId="0" fontId="19" fillId="0" borderId="0" xfId="18" applyFont="1" applyProtection="1">
      <protection locked="0"/>
    </xf>
    <xf numFmtId="44" fontId="19" fillId="0" borderId="0" xfId="3" applyFont="1" applyBorder="1" applyAlignment="1" applyProtection="1">
      <alignment horizontal="right" wrapText="1" indent="1"/>
      <protection locked="0"/>
    </xf>
    <xf numFmtId="0" fontId="19" fillId="0" borderId="0" xfId="18" applyFont="1" applyAlignment="1" applyProtection="1">
      <alignment vertical="center"/>
      <protection locked="0"/>
    </xf>
    <xf numFmtId="0" fontId="19" fillId="0" borderId="0" xfId="18" applyFont="1" applyFill="1" applyAlignment="1" applyProtection="1">
      <alignment horizontal="center" vertical="center"/>
      <protection locked="0"/>
    </xf>
    <xf numFmtId="0" fontId="31" fillId="0" borderId="0" xfId="0" applyFont="1" applyProtection="1">
      <protection locked="0"/>
    </xf>
    <xf numFmtId="0" fontId="19" fillId="0" borderId="0" xfId="0" applyFont="1" applyAlignment="1" applyProtection="1">
      <alignment horizontal="right" wrapText="1" indent="1"/>
      <protection locked="0"/>
    </xf>
    <xf numFmtId="0" fontId="19" fillId="0" borderId="0" xfId="0" applyFont="1" applyAlignment="1" applyProtection="1">
      <protection locked="0"/>
    </xf>
    <xf numFmtId="44" fontId="19" fillId="0" borderId="0" xfId="3" applyFont="1" applyAlignment="1" applyProtection="1">
      <alignment horizontal="center" wrapText="1"/>
      <protection locked="0"/>
    </xf>
    <xf numFmtId="44" fontId="19" fillId="0" borderId="0" xfId="3" applyFont="1" applyBorder="1" applyAlignment="1" applyProtection="1">
      <alignment horizontal="center" wrapText="1"/>
      <protection locked="0"/>
    </xf>
    <xf numFmtId="0" fontId="19" fillId="0" borderId="0" xfId="0" applyFont="1" applyFill="1" applyBorder="1" applyProtection="1">
      <protection locked="0"/>
    </xf>
    <xf numFmtId="0" fontId="19" fillId="0" borderId="0" xfId="19" applyFont="1" applyFill="1" applyBorder="1" applyProtection="1">
      <protection locked="0"/>
    </xf>
    <xf numFmtId="0" fontId="19" fillId="0" borderId="0" xfId="19" applyFont="1" applyFill="1" applyBorder="1" applyAlignment="1" applyProtection="1">
      <alignment vertical="center"/>
      <protection locked="0"/>
    </xf>
    <xf numFmtId="0" fontId="19" fillId="0" borderId="0" xfId="0" applyFont="1" applyBorder="1" applyProtection="1">
      <protection locked="0"/>
    </xf>
    <xf numFmtId="7" fontId="19" fillId="0" borderId="0" xfId="19" applyNumberFormat="1" applyFont="1" applyFill="1" applyBorder="1" applyAlignment="1" applyProtection="1">
      <alignment horizontal="center" vertical="center"/>
      <protection locked="0"/>
    </xf>
    <xf numFmtId="2" fontId="19" fillId="0" borderId="0" xfId="18" applyNumberFormat="1" applyFont="1" applyFill="1" applyAlignment="1" applyProtection="1">
      <alignment vertical="center"/>
      <protection locked="0"/>
    </xf>
    <xf numFmtId="10" fontId="19" fillId="0" borderId="0" xfId="27" applyNumberFormat="1" applyFont="1" applyProtection="1">
      <protection locked="0"/>
    </xf>
    <xf numFmtId="0" fontId="19" fillId="0" borderId="4" xfId="0" applyFont="1" applyBorder="1" applyAlignment="1" applyProtection="1">
      <alignment wrapText="1"/>
      <protection locked="0"/>
    </xf>
    <xf numFmtId="44" fontId="19" fillId="0" borderId="4" xfId="3" applyFont="1" applyBorder="1" applyAlignment="1" applyProtection="1">
      <alignment horizontal="center" wrapText="1"/>
      <protection locked="0"/>
    </xf>
    <xf numFmtId="0" fontId="10" fillId="0" borderId="0" xfId="16" applyNumberFormat="1" applyFont="1" applyBorder="1" applyAlignment="1" applyProtection="1">
      <protection locked="0"/>
    </xf>
    <xf numFmtId="0" fontId="7" fillId="0" borderId="74" xfId="16" applyNumberFormat="1" applyFont="1" applyFill="1" applyBorder="1" applyAlignment="1" applyProtection="1">
      <alignment horizontal="left"/>
    </xf>
    <xf numFmtId="0" fontId="12" fillId="0" borderId="33" xfId="16" applyNumberFormat="1" applyFont="1" applyBorder="1" applyAlignment="1" applyProtection="1">
      <alignment horizontal="centerContinuous" wrapText="1"/>
      <protection locked="0"/>
    </xf>
    <xf numFmtId="0" fontId="7" fillId="0" borderId="4" xfId="16" applyNumberFormat="1" applyFont="1" applyBorder="1" applyAlignment="1" applyProtection="1"/>
    <xf numFmtId="0" fontId="2" fillId="2" borderId="30" xfId="16" applyNumberFormat="1" applyFont="1" applyFill="1" applyBorder="1" applyAlignment="1" applyProtection="1">
      <alignment horizontal="right"/>
      <protection locked="0"/>
    </xf>
    <xf numFmtId="0" fontId="7" fillId="0" borderId="75" xfId="16" quotePrefix="1" applyNumberFormat="1" applyFont="1" applyFill="1" applyBorder="1" applyAlignment="1" applyProtection="1">
      <alignment horizontal="right"/>
      <protection locked="0"/>
    </xf>
    <xf numFmtId="0" fontId="10" fillId="0" borderId="0" xfId="16" quotePrefix="1" applyNumberFormat="1" applyFont="1" applyFill="1" applyBorder="1" applyAlignment="1" applyProtection="1">
      <alignment horizontal="left"/>
      <protection locked="0"/>
    </xf>
    <xf numFmtId="1" fontId="8" fillId="0" borderId="0" xfId="16" applyNumberFormat="1" applyFont="1" applyFill="1" applyBorder="1" applyAlignment="1" applyProtection="1">
      <alignment horizontal="center"/>
    </xf>
    <xf numFmtId="1" fontId="12" fillId="0" borderId="0" xfId="16" applyNumberFormat="1" applyFont="1" applyFill="1" applyBorder="1" applyAlignment="1" applyProtection="1">
      <alignment horizontal="center"/>
      <protection locked="0"/>
    </xf>
    <xf numFmtId="0" fontId="32" fillId="0" borderId="0" xfId="0" applyFont="1"/>
    <xf numFmtId="44" fontId="2" fillId="0" borderId="0" xfId="3" applyFont="1"/>
    <xf numFmtId="44" fontId="7" fillId="0" borderId="4" xfId="3" applyFont="1" applyBorder="1" applyAlignment="1" applyProtection="1"/>
    <xf numFmtId="2" fontId="7" fillId="0" borderId="4" xfId="16" applyNumberFormat="1" applyFont="1" applyBorder="1" applyAlignment="1" applyProtection="1"/>
    <xf numFmtId="49" fontId="7" fillId="0" borderId="4" xfId="16" applyNumberFormat="1" applyFont="1" applyBorder="1" applyAlignment="1" applyProtection="1">
      <alignment horizontal="center"/>
    </xf>
    <xf numFmtId="1" fontId="29" fillId="0" borderId="0" xfId="16" applyNumberFormat="1" applyFont="1" applyFill="1" applyBorder="1" applyAlignment="1" applyProtection="1">
      <alignment horizontal="center"/>
      <protection locked="0"/>
    </xf>
    <xf numFmtId="1" fontId="2" fillId="0" borderId="10" xfId="16" applyNumberFormat="1" applyFont="1" applyBorder="1" applyAlignment="1" applyProtection="1">
      <alignment horizontal="center" wrapText="1"/>
    </xf>
    <xf numFmtId="1" fontId="2" fillId="0" borderId="4" xfId="16" applyNumberFormat="1" applyFont="1" applyBorder="1" applyAlignment="1" applyProtection="1">
      <alignment horizontal="center" wrapText="1"/>
    </xf>
    <xf numFmtId="0" fontId="2" fillId="4" borderId="20" xfId="21" applyFont="1" applyFill="1" applyBorder="1" applyAlignment="1" applyProtection="1">
      <alignment horizontal="centerContinuous"/>
    </xf>
    <xf numFmtId="0" fontId="2" fillId="0" borderId="0" xfId="21" applyFont="1" applyBorder="1" applyProtection="1"/>
    <xf numFmtId="0" fontId="2" fillId="0" borderId="0" xfId="0" applyFont="1" applyBorder="1" applyProtection="1"/>
    <xf numFmtId="0" fontId="2" fillId="0" borderId="0" xfId="0" applyFont="1"/>
    <xf numFmtId="0" fontId="2" fillId="0" borderId="0" xfId="0" applyFont="1" applyFill="1"/>
    <xf numFmtId="44" fontId="5" fillId="0" borderId="0" xfId="3" applyFont="1" applyAlignment="1">
      <alignment horizontal="centerContinuous"/>
    </xf>
    <xf numFmtId="0" fontId="5" fillId="0" borderId="0" xfId="0" applyFont="1" applyAlignment="1">
      <alignment horizontal="centerContinuous"/>
    </xf>
    <xf numFmtId="0" fontId="7" fillId="0" borderId="4" xfId="16" applyFont="1" applyBorder="1" applyAlignment="1" applyProtection="1">
      <alignment horizontal="left" vertical="center"/>
    </xf>
    <xf numFmtId="0" fontId="5" fillId="0" borderId="0" xfId="0" applyFont="1" applyBorder="1" applyAlignment="1">
      <alignment horizontal="centerContinuous"/>
    </xf>
    <xf numFmtId="0" fontId="21" fillId="0" borderId="0" xfId="0" applyFont="1" applyBorder="1" applyAlignment="1">
      <alignment horizontal="centerContinuous"/>
    </xf>
    <xf numFmtId="0" fontId="21" fillId="0" borderId="0" xfId="0" applyFont="1" applyAlignment="1">
      <alignment horizontal="centerContinuous"/>
    </xf>
    <xf numFmtId="44" fontId="2" fillId="0" borderId="0" xfId="3" applyFont="1" applyAlignment="1">
      <alignment horizontal="right"/>
    </xf>
    <xf numFmtId="0" fontId="3" fillId="0" borderId="0" xfId="0" applyFont="1" applyAlignment="1">
      <alignment horizontal="center"/>
    </xf>
    <xf numFmtId="0" fontId="2" fillId="0" borderId="0" xfId="0" applyFont="1" applyBorder="1" applyAlignment="1"/>
    <xf numFmtId="0" fontId="2" fillId="0" borderId="0" xfId="0" applyFont="1" applyAlignment="1"/>
    <xf numFmtId="44" fontId="2" fillId="0" borderId="0" xfId="0" applyNumberFormat="1" applyFont="1"/>
    <xf numFmtId="0" fontId="32" fillId="0" borderId="0" xfId="0" applyFont="1" applyBorder="1"/>
    <xf numFmtId="0" fontId="35" fillId="5" borderId="0" xfId="0" applyFont="1" applyFill="1"/>
    <xf numFmtId="0" fontId="19" fillId="0" borderId="0" xfId="0" applyFont="1" applyFill="1"/>
    <xf numFmtId="0" fontId="19" fillId="0" borderId="0" xfId="0" applyFont="1"/>
    <xf numFmtId="0" fontId="6" fillId="0" borderId="0" xfId="23" applyFont="1" applyFill="1" applyAlignment="1" applyProtection="1">
      <alignment horizontal="left"/>
      <protection locked="0"/>
    </xf>
    <xf numFmtId="0" fontId="2" fillId="0" borderId="0" xfId="17" applyFont="1" applyBorder="1" applyProtection="1"/>
    <xf numFmtId="7" fontId="2" fillId="0" borderId="0" xfId="17" applyNumberFormat="1" applyFont="1" applyBorder="1" applyProtection="1"/>
    <xf numFmtId="0" fontId="7" fillId="0" borderId="0" xfId="17" applyFont="1" applyFill="1" applyBorder="1" applyProtection="1"/>
    <xf numFmtId="0" fontId="2" fillId="0" borderId="0" xfId="17" applyFont="1" applyFill="1" applyBorder="1" applyProtection="1"/>
    <xf numFmtId="0" fontId="3" fillId="0" borderId="0" xfId="24" applyFont="1" applyBorder="1" applyProtection="1"/>
    <xf numFmtId="6" fontId="3" fillId="0" borderId="0" xfId="7" applyNumberFormat="1" applyFont="1" applyBorder="1" applyProtection="1"/>
    <xf numFmtId="6" fontId="3" fillId="0" borderId="0" xfId="7" applyNumberFormat="1" applyFont="1" applyBorder="1" applyAlignment="1" applyProtection="1">
      <alignment horizontal="center"/>
    </xf>
    <xf numFmtId="0" fontId="3" fillId="0" borderId="0" xfId="24" applyFont="1" applyBorder="1" applyAlignment="1" applyProtection="1">
      <alignment horizontal="center"/>
    </xf>
    <xf numFmtId="0" fontId="26" fillId="0" borderId="0" xfId="22" applyFont="1" applyFill="1" applyBorder="1" applyAlignment="1" applyProtection="1">
      <alignment horizontal="left" vertical="center"/>
    </xf>
    <xf numFmtId="0" fontId="26" fillId="0" borderId="0" xfId="0" applyNumberFormat="1" applyFont="1" applyFill="1" applyBorder="1" applyAlignment="1" applyProtection="1">
      <alignment horizontal="left" vertical="center"/>
    </xf>
    <xf numFmtId="0" fontId="18" fillId="0" borderId="0" xfId="0" applyFont="1" applyFill="1" applyBorder="1" applyAlignment="1" applyProtection="1">
      <alignment horizontal="left" vertical="center"/>
    </xf>
    <xf numFmtId="7" fontId="26" fillId="0" borderId="0" xfId="17" applyNumberFormat="1" applyFont="1" applyFill="1" applyBorder="1" applyAlignment="1" applyProtection="1">
      <alignment horizontal="left" vertical="center"/>
    </xf>
    <xf numFmtId="0" fontId="3" fillId="0" borderId="0" xfId="16" applyFont="1" applyProtection="1"/>
    <xf numFmtId="0" fontId="37" fillId="0" borderId="0" xfId="22" applyFont="1" applyBorder="1" applyAlignment="1" applyProtection="1">
      <alignment horizontal="left" vertical="center"/>
    </xf>
    <xf numFmtId="0" fontId="26" fillId="0" borderId="0" xfId="22" applyFont="1" applyBorder="1" applyAlignment="1" applyProtection="1">
      <alignment horizontal="left" vertical="center"/>
    </xf>
    <xf numFmtId="7" fontId="26" fillId="0" borderId="0" xfId="17" applyNumberFormat="1" applyFont="1" applyBorder="1" applyAlignment="1" applyProtection="1">
      <alignment horizontal="left" vertical="center"/>
    </xf>
    <xf numFmtId="0" fontId="7" fillId="0" borderId="0" xfId="17" applyFont="1" applyBorder="1" applyAlignment="1" applyProtection="1">
      <alignment horizontal="left" vertical="center"/>
    </xf>
    <xf numFmtId="0" fontId="26" fillId="0" borderId="0" xfId="17" applyFont="1" applyBorder="1" applyAlignment="1" applyProtection="1">
      <alignment horizontal="right" vertical="center"/>
    </xf>
    <xf numFmtId="0" fontId="18" fillId="0" borderId="0" xfId="17" applyFont="1" applyBorder="1" applyAlignment="1" applyProtection="1">
      <alignment horizontal="right" vertical="center"/>
    </xf>
    <xf numFmtId="0" fontId="7" fillId="0" borderId="0" xfId="17" applyFont="1" applyBorder="1" applyAlignment="1" applyProtection="1">
      <alignment horizontal="right" vertical="center"/>
    </xf>
    <xf numFmtId="0" fontId="2" fillId="0" borderId="0" xfId="21" applyFont="1" applyBorder="1" applyAlignment="1" applyProtection="1">
      <alignment horizontal="center" vertical="center"/>
    </xf>
    <xf numFmtId="0" fontId="2" fillId="0" borderId="0" xfId="21" applyFont="1" applyBorder="1" applyAlignment="1" applyProtection="1">
      <alignment horizontal="center"/>
    </xf>
    <xf numFmtId="0" fontId="2" fillId="0" borderId="0" xfId="17" applyFont="1" applyBorder="1" applyAlignment="1" applyProtection="1">
      <alignment horizontal="center" vertical="center"/>
    </xf>
    <xf numFmtId="0" fontId="2" fillId="0" borderId="0" xfId="17" applyFont="1" applyAlignment="1" applyProtection="1">
      <alignment vertical="center"/>
    </xf>
    <xf numFmtId="0" fontId="3" fillId="3" borderId="0" xfId="24" applyFont="1" applyFill="1" applyBorder="1" applyProtection="1"/>
    <xf numFmtId="0" fontId="14" fillId="0" borderId="0" xfId="17" applyNumberFormat="1" applyFont="1" applyFill="1" applyBorder="1" applyAlignment="1" applyProtection="1">
      <alignment horizontal="left" vertical="center"/>
    </xf>
    <xf numFmtId="44" fontId="14" fillId="0" borderId="0" xfId="3" applyFont="1" applyFill="1" applyBorder="1" applyAlignment="1" applyProtection="1">
      <alignment horizontal="left" vertical="center"/>
    </xf>
    <xf numFmtId="0" fontId="2" fillId="0" borderId="0" xfId="17" applyFont="1" applyBorder="1" applyAlignment="1" applyProtection="1">
      <alignment vertical="center"/>
    </xf>
    <xf numFmtId="0" fontId="2" fillId="0" borderId="0" xfId="0" applyFont="1" applyBorder="1" applyAlignment="1" applyProtection="1">
      <alignment vertical="center"/>
    </xf>
    <xf numFmtId="2" fontId="2" fillId="0" borderId="0" xfId="17" applyNumberFormat="1" applyFont="1" applyBorder="1" applyAlignment="1" applyProtection="1">
      <alignment horizontal="left" vertical="center"/>
    </xf>
    <xf numFmtId="0" fontId="2" fillId="0" borderId="0" xfId="17" applyNumberFormat="1" applyFont="1" applyFill="1" applyBorder="1" applyAlignment="1" applyProtection="1">
      <alignment horizontal="left" vertical="center"/>
    </xf>
    <xf numFmtId="44" fontId="2" fillId="0" borderId="0" xfId="3" applyFont="1" applyFill="1" applyBorder="1" applyAlignment="1" applyProtection="1">
      <alignment horizontal="left" vertical="center"/>
    </xf>
    <xf numFmtId="2" fontId="2" fillId="0" borderId="0" xfId="17" applyNumberFormat="1" applyFont="1" applyBorder="1" applyAlignment="1" applyProtection="1">
      <alignment vertical="center"/>
    </xf>
    <xf numFmtId="2" fontId="14" fillId="0" borderId="0" xfId="17" applyNumberFormat="1" applyFont="1" applyBorder="1" applyAlignment="1" applyProtection="1">
      <alignment vertical="center"/>
    </xf>
    <xf numFmtId="2" fontId="14" fillId="0" borderId="0" xfId="17" applyNumberFormat="1" applyFont="1" applyBorder="1" applyAlignment="1" applyProtection="1">
      <alignment horizontal="left" vertical="center"/>
    </xf>
    <xf numFmtId="0" fontId="14" fillId="0" borderId="0" xfId="17" applyNumberFormat="1" applyFont="1" applyBorder="1" applyAlignment="1" applyProtection="1">
      <alignment horizontal="left" vertical="center"/>
    </xf>
    <xf numFmtId="7" fontId="38" fillId="0" borderId="0" xfId="17" applyNumberFormat="1" applyFont="1" applyBorder="1" applyAlignment="1" applyProtection="1">
      <alignment horizontal="left" vertical="center"/>
    </xf>
    <xf numFmtId="0" fontId="2" fillId="0" borderId="0" xfId="17" applyFont="1" applyBorder="1" applyAlignment="1" applyProtection="1">
      <alignment horizontal="right" vertical="center"/>
    </xf>
    <xf numFmtId="167" fontId="39" fillId="0" borderId="0" xfId="22" applyNumberFormat="1" applyFont="1" applyBorder="1" applyAlignment="1" applyProtection="1">
      <alignment horizontal="left" vertical="center"/>
    </xf>
    <xf numFmtId="167" fontId="22" fillId="0" borderId="0" xfId="22" applyNumberFormat="1" applyFont="1" applyBorder="1" applyAlignment="1" applyProtection="1">
      <alignment horizontal="left" vertical="center"/>
    </xf>
    <xf numFmtId="0" fontId="22" fillId="0" borderId="0" xfId="22" applyFont="1" applyBorder="1" applyAlignment="1" applyProtection="1">
      <alignment horizontal="left" vertical="center"/>
    </xf>
    <xf numFmtId="0" fontId="40" fillId="0" borderId="0" xfId="22" applyNumberFormat="1" applyFont="1" applyBorder="1" applyAlignment="1" applyProtection="1">
      <alignment horizontal="left" vertical="center"/>
    </xf>
    <xf numFmtId="0" fontId="22" fillId="0" borderId="0" xfId="22" applyNumberFormat="1" applyFont="1" applyBorder="1" applyAlignment="1" applyProtection="1">
      <alignment horizontal="left" vertical="center"/>
    </xf>
    <xf numFmtId="0" fontId="22" fillId="0" borderId="0" xfId="17" applyFont="1" applyBorder="1" applyAlignment="1" applyProtection="1">
      <alignment horizontal="left" vertical="center"/>
    </xf>
    <xf numFmtId="7" fontId="22" fillId="0" borderId="0" xfId="17" applyNumberFormat="1" applyFont="1" applyBorder="1" applyAlignment="1" applyProtection="1">
      <alignment horizontal="left" vertical="center"/>
    </xf>
    <xf numFmtId="168" fontId="22" fillId="0" borderId="0" xfId="17" applyNumberFormat="1" applyFont="1" applyBorder="1" applyAlignment="1" applyProtection="1">
      <alignment horizontal="left" vertical="center"/>
    </xf>
    <xf numFmtId="0" fontId="41" fillId="0" borderId="0" xfId="17" applyFont="1" applyBorder="1" applyAlignment="1" applyProtection="1">
      <alignment horizontal="left" vertical="center"/>
    </xf>
    <xf numFmtId="7" fontId="39" fillId="0" borderId="0" xfId="17" applyNumberFormat="1" applyFont="1" applyBorder="1" applyAlignment="1" applyProtection="1">
      <alignment horizontal="left" vertical="center"/>
    </xf>
    <xf numFmtId="7" fontId="41" fillId="0" borderId="0" xfId="17" applyNumberFormat="1" applyFont="1" applyBorder="1" applyAlignment="1" applyProtection="1">
      <alignment horizontal="left" vertical="center"/>
    </xf>
    <xf numFmtId="0" fontId="22" fillId="0" borderId="0" xfId="17" applyFont="1" applyBorder="1" applyAlignment="1" applyProtection="1">
      <alignment horizontal="right" vertical="center"/>
    </xf>
    <xf numFmtId="0" fontId="22" fillId="0" borderId="0" xfId="21" applyFont="1" applyBorder="1" applyAlignment="1" applyProtection="1">
      <alignment horizontal="center" vertical="center"/>
    </xf>
    <xf numFmtId="0" fontId="22" fillId="0" borderId="0" xfId="17" applyFont="1" applyBorder="1" applyAlignment="1" applyProtection="1">
      <alignment horizontal="center" vertical="center"/>
    </xf>
    <xf numFmtId="0" fontId="22" fillId="0" borderId="0" xfId="17" applyFont="1" applyAlignment="1" applyProtection="1">
      <alignment vertical="center"/>
    </xf>
    <xf numFmtId="0" fontId="43" fillId="4" borderId="20" xfId="25" applyFont="1" applyFill="1" applyBorder="1" applyAlignment="1" applyProtection="1">
      <alignment horizontal="center"/>
    </xf>
    <xf numFmtId="0" fontId="7" fillId="4" borderId="85" xfId="25" applyFont="1" applyFill="1" applyBorder="1" applyAlignment="1" applyProtection="1">
      <alignment horizontal="centerContinuous"/>
    </xf>
    <xf numFmtId="0" fontId="7" fillId="4" borderId="84" xfId="25" applyFont="1" applyFill="1" applyBorder="1" applyAlignment="1" applyProtection="1">
      <alignment horizontal="centerContinuous"/>
    </xf>
    <xf numFmtId="0" fontId="7" fillId="4" borderId="20" xfId="25" applyFont="1" applyFill="1" applyBorder="1" applyAlignment="1" applyProtection="1">
      <alignment horizontal="centerContinuous"/>
    </xf>
    <xf numFmtId="170" fontId="43" fillId="4" borderId="20" xfId="25" applyNumberFormat="1" applyFont="1" applyFill="1" applyBorder="1" applyAlignment="1" applyProtection="1">
      <alignment horizontal="centerContinuous"/>
    </xf>
    <xf numFmtId="0" fontId="43" fillId="4" borderId="55" xfId="25" applyFont="1" applyFill="1" applyBorder="1" applyAlignment="1" applyProtection="1">
      <alignment horizontal="centerContinuous"/>
    </xf>
    <xf numFmtId="164" fontId="7" fillId="0" borderId="0" xfId="7" applyNumberFormat="1" applyFont="1" applyBorder="1" applyAlignment="1" applyProtection="1">
      <alignment horizontal="right" vertical="center"/>
    </xf>
    <xf numFmtId="164" fontId="2" fillId="0" borderId="0" xfId="7" applyNumberFormat="1" applyFont="1" applyBorder="1" applyAlignment="1" applyProtection="1">
      <alignment horizontal="center" vertical="center"/>
    </xf>
    <xf numFmtId="164" fontId="2" fillId="0" borderId="57" xfId="7" applyNumberFormat="1" applyFont="1" applyBorder="1" applyAlignment="1" applyProtection="1">
      <alignment horizontal="center" vertical="center"/>
    </xf>
    <xf numFmtId="6" fontId="2" fillId="0" borderId="0" xfId="7" applyNumberFormat="1" applyFont="1" applyBorder="1" applyProtection="1"/>
    <xf numFmtId="6" fontId="2" fillId="0" borderId="0" xfId="7" applyNumberFormat="1" applyFont="1" applyBorder="1" applyAlignment="1" applyProtection="1">
      <alignment horizontal="center"/>
    </xf>
    <xf numFmtId="5" fontId="2" fillId="3" borderId="0" xfId="24" applyNumberFormat="1" applyFont="1" applyFill="1" applyBorder="1" applyAlignment="1" applyProtection="1">
      <alignment horizontal="center"/>
    </xf>
    <xf numFmtId="6" fontId="7" fillId="0" borderId="0" xfId="7" applyNumberFormat="1" applyFont="1" applyBorder="1" applyAlignment="1" applyProtection="1">
      <alignment horizontal="right" vertical="center"/>
    </xf>
    <xf numFmtId="0" fontId="2" fillId="0" borderId="0" xfId="24" applyFont="1" applyBorder="1" applyAlignment="1" applyProtection="1">
      <alignment horizontal="center"/>
    </xf>
    <xf numFmtId="0" fontId="44" fillId="0" borderId="0" xfId="24" applyFont="1" applyBorder="1" applyProtection="1"/>
    <xf numFmtId="2" fontId="2" fillId="0" borderId="0" xfId="21" applyNumberFormat="1" applyFont="1" applyBorder="1" applyProtection="1"/>
    <xf numFmtId="44" fontId="14" fillId="0" borderId="57" xfId="3" applyFont="1" applyBorder="1" applyAlignment="1" applyProtection="1">
      <alignment horizontal="center" vertical="center"/>
    </xf>
    <xf numFmtId="44" fontId="2" fillId="0" borderId="0" xfId="3" applyFont="1" applyFill="1" applyBorder="1" applyProtection="1"/>
    <xf numFmtId="0" fontId="3" fillId="0" borderId="0" xfId="24" applyFont="1" applyFill="1" applyBorder="1" applyProtection="1"/>
    <xf numFmtId="2" fontId="14" fillId="0" borderId="0" xfId="17" applyNumberFormat="1" applyFont="1" applyBorder="1" applyAlignment="1" applyProtection="1">
      <alignment horizontal="center" vertical="center"/>
    </xf>
    <xf numFmtId="44" fontId="14" fillId="0" borderId="0" xfId="3" applyFont="1" applyBorder="1" applyAlignment="1" applyProtection="1">
      <alignment horizontal="center" vertical="center"/>
    </xf>
    <xf numFmtId="44" fontId="18" fillId="0" borderId="0" xfId="3" applyFont="1" applyFill="1" applyBorder="1" applyAlignment="1" applyProtection="1">
      <alignment horizontal="left" vertical="center"/>
    </xf>
    <xf numFmtId="7" fontId="45" fillId="0" borderId="0" xfId="17" applyNumberFormat="1" applyFont="1" applyFill="1" applyBorder="1" applyAlignment="1" applyProtection="1">
      <alignment horizontal="left" vertical="center"/>
    </xf>
    <xf numFmtId="7" fontId="46" fillId="0" borderId="0" xfId="17" applyNumberFormat="1" applyFont="1" applyFill="1" applyBorder="1" applyAlignment="1" applyProtection="1">
      <alignment horizontal="left" vertical="center"/>
    </xf>
    <xf numFmtId="165" fontId="3" fillId="0" borderId="0" xfId="3" applyNumberFormat="1" applyFont="1" applyBorder="1" applyAlignment="1" applyProtection="1">
      <alignment horizontal="left"/>
    </xf>
    <xf numFmtId="165" fontId="2" fillId="0" borderId="0" xfId="17" applyNumberFormat="1" applyFont="1" applyAlignment="1" applyProtection="1">
      <alignment vertical="center"/>
    </xf>
    <xf numFmtId="2" fontId="14" fillId="0" borderId="0" xfId="17" applyNumberFormat="1" applyFont="1" applyFill="1" applyBorder="1" applyAlignment="1" applyProtection="1">
      <alignment vertical="center"/>
    </xf>
    <xf numFmtId="44" fontId="14" fillId="0" borderId="0" xfId="3" applyFont="1" applyBorder="1" applyAlignment="1" applyProtection="1">
      <alignment vertical="center"/>
    </xf>
    <xf numFmtId="44" fontId="14" fillId="0" borderId="0" xfId="3" applyFont="1" applyBorder="1" applyAlignment="1" applyProtection="1">
      <alignment horizontal="left" vertical="center"/>
    </xf>
    <xf numFmtId="2" fontId="44" fillId="0" borderId="0" xfId="24" applyNumberFormat="1" applyFont="1" applyBorder="1" applyAlignment="1" applyProtection="1">
      <alignment horizontal="center"/>
    </xf>
    <xf numFmtId="44" fontId="44" fillId="0" borderId="4" xfId="3" applyFont="1" applyBorder="1" applyAlignment="1" applyProtection="1">
      <alignment horizontal="center"/>
    </xf>
    <xf numFmtId="44" fontId="22" fillId="0" borderId="4" xfId="3" applyFont="1" applyBorder="1" applyAlignment="1" applyProtection="1">
      <alignment horizontal="left" vertical="center"/>
    </xf>
    <xf numFmtId="7" fontId="47" fillId="0" borderId="0" xfId="17" applyNumberFormat="1" applyFont="1" applyFill="1" applyBorder="1" applyAlignment="1" applyProtection="1">
      <alignment horizontal="left" vertical="center"/>
    </xf>
    <xf numFmtId="0" fontId="43" fillId="0" borderId="0" xfId="25" applyFont="1" applyFill="1" applyBorder="1" applyAlignment="1" applyProtection="1">
      <alignment horizontal="center"/>
    </xf>
    <xf numFmtId="0" fontId="44" fillId="0" borderId="0" xfId="24" applyFont="1" applyFill="1" applyBorder="1" applyAlignment="1" applyProtection="1">
      <alignment horizontal="center"/>
    </xf>
    <xf numFmtId="2" fontId="2" fillId="0" borderId="0" xfId="0" applyNumberFormat="1" applyFont="1"/>
    <xf numFmtId="2" fontId="3" fillId="0" borderId="0" xfId="24" applyNumberFormat="1" applyFont="1" applyBorder="1" applyProtection="1"/>
    <xf numFmtId="44" fontId="3" fillId="0" borderId="0" xfId="3" applyFont="1" applyBorder="1" applyProtection="1"/>
    <xf numFmtId="1" fontId="14" fillId="0" borderId="5" xfId="16" applyNumberFormat="1" applyFont="1" applyFill="1" applyBorder="1" applyAlignment="1" applyProtection="1">
      <alignment horizontal="center" wrapText="1"/>
    </xf>
    <xf numFmtId="1" fontId="8" fillId="0" borderId="4" xfId="16" applyNumberFormat="1" applyFont="1" applyBorder="1" applyAlignment="1" applyProtection="1">
      <alignment horizontal="center" wrapText="1"/>
    </xf>
    <xf numFmtId="0" fontId="2" fillId="2" borderId="73" xfId="16" applyNumberFormat="1" applyFont="1" applyFill="1" applyBorder="1" applyAlignment="1" applyProtection="1">
      <alignment horizontal="right"/>
      <protection locked="0"/>
    </xf>
    <xf numFmtId="1" fontId="14" fillId="0" borderId="2" xfId="16" applyNumberFormat="1" applyFont="1" applyFill="1" applyBorder="1" applyAlignment="1" applyProtection="1">
      <alignment horizontal="center" wrapText="1"/>
    </xf>
    <xf numFmtId="0" fontId="2" fillId="0" borderId="0" xfId="16" applyNumberFormat="1" applyFont="1" applyBorder="1" applyAlignment="1" applyProtection="1">
      <alignment horizontal="left"/>
      <protection locked="0"/>
    </xf>
    <xf numFmtId="0" fontId="2" fillId="0" borderId="0" xfId="16" quotePrefix="1" applyNumberFormat="1" applyFont="1" applyFill="1" applyBorder="1" applyAlignment="1" applyProtection="1">
      <alignment horizontal="left"/>
      <protection locked="0"/>
    </xf>
    <xf numFmtId="0" fontId="23" fillId="4" borderId="20" xfId="24" applyFont="1" applyFill="1" applyBorder="1" applyAlignment="1" applyProtection="1">
      <alignment horizontal="centerContinuous"/>
    </xf>
    <xf numFmtId="6" fontId="23" fillId="4" borderId="20" xfId="7" applyNumberFormat="1" applyFont="1" applyFill="1" applyBorder="1" applyAlignment="1" applyProtection="1">
      <alignment horizontal="centerContinuous"/>
    </xf>
    <xf numFmtId="0" fontId="2" fillId="0" borderId="0" xfId="24" applyFont="1" applyBorder="1" applyProtection="1"/>
    <xf numFmtId="0" fontId="2" fillId="0" borderId="58" xfId="24" applyFont="1" applyBorder="1" applyAlignment="1" applyProtection="1">
      <alignment horizontal="center"/>
    </xf>
    <xf numFmtId="0" fontId="2" fillId="0" borderId="42" xfId="24" applyFont="1" applyBorder="1" applyAlignment="1" applyProtection="1">
      <alignment horizontal="center"/>
    </xf>
    <xf numFmtId="0" fontId="7" fillId="0" borderId="35" xfId="24" applyFont="1" applyBorder="1" applyAlignment="1" applyProtection="1">
      <alignment horizontal="centerContinuous"/>
    </xf>
    <xf numFmtId="0" fontId="2" fillId="0" borderId="83" xfId="24" applyFont="1" applyBorder="1" applyAlignment="1" applyProtection="1">
      <alignment horizontal="centerContinuous"/>
    </xf>
    <xf numFmtId="0" fontId="2" fillId="0" borderId="36" xfId="24" applyFont="1" applyBorder="1" applyAlignment="1" applyProtection="1">
      <alignment horizontal="center"/>
    </xf>
    <xf numFmtId="0" fontId="2" fillId="0" borderId="37" xfId="24" applyFont="1" applyBorder="1" applyAlignment="1" applyProtection="1">
      <alignment horizontal="center"/>
    </xf>
    <xf numFmtId="0" fontId="2" fillId="0" borderId="38" xfId="24" applyFont="1" applyBorder="1" applyAlignment="1" applyProtection="1">
      <alignment horizontal="center"/>
    </xf>
    <xf numFmtId="6" fontId="2" fillId="0" borderId="36" xfId="7" applyNumberFormat="1" applyFont="1" applyBorder="1" applyAlignment="1" applyProtection="1">
      <alignment horizontal="center"/>
    </xf>
    <xf numFmtId="6" fontId="2" fillId="0" borderId="39" xfId="7" applyNumberFormat="1" applyFont="1" applyBorder="1" applyAlignment="1" applyProtection="1">
      <alignment horizontal="center"/>
    </xf>
    <xf numFmtId="0" fontId="2" fillId="0" borderId="39" xfId="24" applyFont="1" applyBorder="1" applyAlignment="1" applyProtection="1">
      <alignment horizontal="center"/>
    </xf>
    <xf numFmtId="169" fontId="7" fillId="0" borderId="58" xfId="24" applyNumberFormat="1" applyFont="1" applyBorder="1" applyAlignment="1" applyProtection="1">
      <alignment horizontal="left"/>
    </xf>
    <xf numFmtId="169" fontId="7" fillId="0" borderId="42" xfId="24" applyNumberFormat="1" applyFont="1" applyBorder="1" applyAlignment="1" applyProtection="1">
      <alignment horizontal="left"/>
    </xf>
    <xf numFmtId="0" fontId="2" fillId="0" borderId="40" xfId="24" applyFont="1" applyBorder="1" applyProtection="1"/>
    <xf numFmtId="0" fontId="2" fillId="0" borderId="40" xfId="24" applyFont="1" applyBorder="1" applyAlignment="1" applyProtection="1">
      <alignment horizontal="centerContinuous"/>
    </xf>
    <xf numFmtId="0" fontId="7" fillId="0" borderId="40" xfId="24" applyFont="1" applyBorder="1" applyAlignment="1" applyProtection="1">
      <alignment horizontal="center"/>
    </xf>
    <xf numFmtId="0" fontId="7" fillId="0" borderId="41" xfId="24" applyFont="1" applyBorder="1" applyAlignment="1" applyProtection="1">
      <alignment horizontal="center"/>
    </xf>
    <xf numFmtId="0" fontId="7" fillId="0" borderId="42" xfId="24" applyFont="1" applyBorder="1" applyAlignment="1" applyProtection="1">
      <alignment horizontal="center"/>
    </xf>
    <xf numFmtId="6" fontId="7" fillId="0" borderId="40" xfId="7" applyNumberFormat="1" applyFont="1" applyBorder="1" applyAlignment="1" applyProtection="1">
      <alignment horizontal="centerContinuous"/>
    </xf>
    <xf numFmtId="6" fontId="2" fillId="0" borderId="43" xfId="7" applyNumberFormat="1" applyFont="1" applyBorder="1" applyAlignment="1" applyProtection="1">
      <alignment horizontal="centerContinuous"/>
    </xf>
    <xf numFmtId="6" fontId="7" fillId="0" borderId="40" xfId="7" applyNumberFormat="1" applyFont="1" applyBorder="1" applyAlignment="1" applyProtection="1">
      <alignment horizontal="center"/>
    </xf>
    <xf numFmtId="0" fontId="7" fillId="0" borderId="43" xfId="24" applyFont="1" applyBorder="1" applyAlignment="1" applyProtection="1">
      <alignment horizontal="center"/>
    </xf>
    <xf numFmtId="49" fontId="7" fillId="0" borderId="58" xfId="24" applyNumberFormat="1" applyFont="1" applyBorder="1" applyAlignment="1" applyProtection="1">
      <alignment horizontal="center"/>
    </xf>
    <xf numFmtId="49" fontId="7" fillId="0" borderId="42" xfId="24" applyNumberFormat="1" applyFont="1" applyBorder="1" applyAlignment="1" applyProtection="1">
      <alignment horizontal="center"/>
    </xf>
    <xf numFmtId="6" fontId="7" fillId="0" borderId="43" xfId="7" applyNumberFormat="1" applyFont="1" applyBorder="1" applyAlignment="1" applyProtection="1">
      <alignment horizontal="center"/>
    </xf>
    <xf numFmtId="49" fontId="7" fillId="0" borderId="65" xfId="24" applyNumberFormat="1" applyFont="1" applyBorder="1" applyAlignment="1" applyProtection="1">
      <alignment horizontal="center"/>
    </xf>
    <xf numFmtId="49" fontId="7" fillId="0" borderId="45" xfId="24" applyNumberFormat="1" applyFont="1" applyBorder="1" applyAlignment="1" applyProtection="1">
      <alignment horizontal="center"/>
    </xf>
    <xf numFmtId="0" fontId="7" fillId="0" borderId="44" xfId="24" applyFont="1" applyBorder="1" applyAlignment="1" applyProtection="1">
      <alignment horizontal="center"/>
    </xf>
    <xf numFmtId="0" fontId="7" fillId="0" borderId="26" xfId="24" applyFont="1" applyBorder="1" applyAlignment="1" applyProtection="1">
      <alignment horizontal="center"/>
    </xf>
    <xf numFmtId="0" fontId="7" fillId="0" borderId="45" xfId="24" applyFont="1" applyBorder="1" applyAlignment="1" applyProtection="1">
      <alignment horizontal="center"/>
    </xf>
    <xf numFmtId="6" fontId="7" fillId="0" borderId="44" xfId="7" applyNumberFormat="1" applyFont="1" applyBorder="1" applyAlignment="1" applyProtection="1">
      <alignment horizontal="center"/>
    </xf>
    <xf numFmtId="6" fontId="7" fillId="0" borderId="15" xfId="7" applyNumberFormat="1" applyFont="1" applyBorder="1" applyAlignment="1" applyProtection="1">
      <alignment horizontal="center"/>
    </xf>
    <xf numFmtId="6" fontId="2" fillId="0" borderId="44" xfId="7" applyNumberFormat="1" applyFont="1" applyBorder="1" applyAlignment="1" applyProtection="1">
      <alignment horizontal="center" vertical="center"/>
    </xf>
    <xf numFmtId="0" fontId="2" fillId="0" borderId="44" xfId="24" quotePrefix="1" applyNumberFormat="1" applyFont="1" applyBorder="1" applyAlignment="1" applyProtection="1">
      <alignment horizontal="center" vertical="center"/>
    </xf>
    <xf numFmtId="0" fontId="2" fillId="0" borderId="44" xfId="24" applyFont="1" applyBorder="1" applyAlignment="1" applyProtection="1">
      <alignment horizontal="center" vertical="center"/>
    </xf>
    <xf numFmtId="0" fontId="2" fillId="0" borderId="15" xfId="24" applyFont="1" applyBorder="1" applyAlignment="1" applyProtection="1">
      <alignment horizontal="center" vertical="center"/>
    </xf>
    <xf numFmtId="1" fontId="14" fillId="0" borderId="4" xfId="16" applyNumberFormat="1" applyFont="1" applyFill="1" applyBorder="1" applyAlignment="1" applyProtection="1">
      <alignment horizontal="center" wrapText="1"/>
    </xf>
    <xf numFmtId="0" fontId="2" fillId="0" borderId="4" xfId="16" applyFont="1" applyBorder="1" applyProtection="1"/>
    <xf numFmtId="0" fontId="2" fillId="2" borderId="46" xfId="26" applyFont="1" applyFill="1" applyBorder="1" applyAlignment="1" applyProtection="1">
      <alignment vertical="center"/>
      <protection locked="0"/>
    </xf>
    <xf numFmtId="0" fontId="2" fillId="2" borderId="46" xfId="26" applyFont="1" applyFill="1" applyBorder="1" applyAlignment="1" applyProtection="1">
      <alignment horizontal="center" vertical="center"/>
      <protection locked="0"/>
    </xf>
    <xf numFmtId="1" fontId="2" fillId="2" borderId="46" xfId="26" applyNumberFormat="1" applyFont="1" applyFill="1" applyBorder="1" applyAlignment="1" applyProtection="1">
      <alignment horizontal="center" vertical="center"/>
      <protection locked="0"/>
    </xf>
    <xf numFmtId="0" fontId="2" fillId="2" borderId="49" xfId="26" applyFont="1" applyFill="1" applyBorder="1" applyAlignment="1" applyProtection="1">
      <alignment horizontal="center" vertical="center"/>
      <protection locked="0"/>
    </xf>
    <xf numFmtId="0" fontId="2" fillId="2" borderId="50" xfId="26" applyFont="1" applyFill="1" applyBorder="1" applyAlignment="1" applyProtection="1">
      <alignment horizontal="center" vertical="center"/>
      <protection locked="0"/>
    </xf>
    <xf numFmtId="0" fontId="2" fillId="2" borderId="49" xfId="25" applyFont="1" applyFill="1" applyBorder="1" applyAlignment="1" applyProtection="1">
      <alignment horizontal="center" vertical="center"/>
      <protection locked="0"/>
    </xf>
    <xf numFmtId="0" fontId="2" fillId="2" borderId="50" xfId="25" applyFont="1" applyFill="1" applyBorder="1" applyAlignment="1" applyProtection="1">
      <alignment horizontal="center" vertical="center"/>
      <protection locked="0"/>
    </xf>
    <xf numFmtId="0" fontId="2" fillId="2" borderId="51" xfId="25" applyFont="1" applyFill="1" applyBorder="1" applyAlignment="1" applyProtection="1">
      <alignment vertical="center"/>
      <protection locked="0"/>
    </xf>
    <xf numFmtId="0" fontId="2" fillId="2" borderId="51" xfId="25" applyFont="1" applyFill="1" applyBorder="1" applyAlignment="1" applyProtection="1">
      <alignment horizontal="center" vertical="center"/>
      <protection locked="0"/>
    </xf>
    <xf numFmtId="0" fontId="2" fillId="2" borderId="52" xfId="25" applyFont="1" applyFill="1" applyBorder="1" applyAlignment="1" applyProtection="1">
      <alignment horizontal="center" vertical="center"/>
      <protection locked="0"/>
    </xf>
    <xf numFmtId="1" fontId="2" fillId="2" borderId="51" xfId="25" applyNumberFormat="1" applyFont="1" applyFill="1" applyBorder="1" applyAlignment="1" applyProtection="1">
      <alignment horizontal="center" vertical="center"/>
      <protection locked="0"/>
    </xf>
    <xf numFmtId="0" fontId="2" fillId="0" borderId="9" xfId="25" applyFont="1" applyFill="1" applyBorder="1" applyAlignment="1" applyProtection="1">
      <alignment vertical="center"/>
    </xf>
    <xf numFmtId="0" fontId="2" fillId="0" borderId="9" xfId="25" applyFont="1" applyFill="1" applyBorder="1" applyAlignment="1" applyProtection="1">
      <alignment horizontal="center" vertical="center"/>
    </xf>
    <xf numFmtId="0" fontId="2" fillId="0" borderId="7" xfId="25" applyFont="1" applyFill="1" applyBorder="1" applyAlignment="1" applyProtection="1">
      <alignment horizontal="center" vertical="center"/>
    </xf>
    <xf numFmtId="1" fontId="2" fillId="0" borderId="7" xfId="25" applyNumberFormat="1" applyFont="1" applyFill="1" applyBorder="1" applyAlignment="1" applyProtection="1">
      <alignment horizontal="center" vertical="center"/>
    </xf>
    <xf numFmtId="0" fontId="2" fillId="0" borderId="0" xfId="25" applyFont="1" applyFill="1" applyBorder="1" applyAlignment="1" applyProtection="1">
      <alignment vertical="center"/>
    </xf>
    <xf numFmtId="0" fontId="2" fillId="0" borderId="0" xfId="25" applyFont="1" applyFill="1" applyBorder="1" applyAlignment="1" applyProtection="1">
      <alignment horizontal="center" vertical="center"/>
    </xf>
    <xf numFmtId="1" fontId="2" fillId="0" borderId="0" xfId="25" applyNumberFormat="1" applyFont="1" applyFill="1" applyBorder="1" applyAlignment="1" applyProtection="1">
      <alignment horizontal="center" vertical="center"/>
    </xf>
    <xf numFmtId="2" fontId="2" fillId="0" borderId="40" xfId="21" applyNumberFormat="1" applyFont="1" applyFill="1" applyBorder="1" applyAlignment="1" applyProtection="1">
      <alignment horizontal="left" vertical="center"/>
    </xf>
    <xf numFmtId="0" fontId="2" fillId="2" borderId="46" xfId="25" applyFont="1" applyFill="1" applyBorder="1" applyAlignment="1" applyProtection="1">
      <alignment vertical="center"/>
      <protection locked="0"/>
    </xf>
    <xf numFmtId="0" fontId="2" fillId="2" borderId="46" xfId="25" applyFont="1" applyFill="1" applyBorder="1" applyAlignment="1" applyProtection="1">
      <alignment horizontal="center" vertical="center"/>
      <protection locked="0"/>
    </xf>
    <xf numFmtId="0" fontId="2" fillId="2" borderId="47" xfId="25" applyFont="1" applyFill="1" applyBorder="1" applyAlignment="1" applyProtection="1">
      <alignment horizontal="center" vertical="center"/>
      <protection locked="0"/>
    </xf>
    <xf numFmtId="1" fontId="2" fillId="2" borderId="46" xfId="25" applyNumberFormat="1" applyFont="1" applyFill="1" applyBorder="1" applyAlignment="1" applyProtection="1">
      <alignment horizontal="center" vertical="center"/>
      <protection locked="0"/>
    </xf>
    <xf numFmtId="0" fontId="2" fillId="2" borderId="49" xfId="25" applyFont="1" applyFill="1" applyBorder="1" applyAlignment="1" applyProtection="1">
      <alignment vertical="center"/>
      <protection locked="0"/>
    </xf>
    <xf numFmtId="2" fontId="2" fillId="0" borderId="3" xfId="21" applyNumberFormat="1" applyFont="1" applyFill="1" applyBorder="1" applyAlignment="1" applyProtection="1">
      <alignment horizontal="left" vertical="center"/>
    </xf>
    <xf numFmtId="0" fontId="2" fillId="0" borderId="0" xfId="24" applyFont="1" applyBorder="1" applyAlignment="1" applyProtection="1">
      <alignment horizontal="center" vertical="center"/>
    </xf>
    <xf numFmtId="0" fontId="2" fillId="0" borderId="0" xfId="24" applyFont="1" applyBorder="1" applyAlignment="1" applyProtection="1">
      <alignment vertical="center"/>
    </xf>
    <xf numFmtId="164" fontId="2" fillId="0" borderId="0" xfId="24" applyNumberFormat="1" applyFont="1" applyBorder="1" applyAlignment="1" applyProtection="1">
      <alignment vertical="center"/>
    </xf>
    <xf numFmtId="164" fontId="2" fillId="0" borderId="0" xfId="7" applyNumberFormat="1" applyFont="1" applyBorder="1" applyAlignment="1" applyProtection="1">
      <alignment vertical="center"/>
    </xf>
    <xf numFmtId="0" fontId="2" fillId="0" borderId="0" xfId="24" applyFont="1" applyBorder="1" applyAlignment="1" applyProtection="1">
      <alignment horizontal="left"/>
    </xf>
    <xf numFmtId="0" fontId="2" fillId="0" borderId="40" xfId="21" applyNumberFormat="1" applyFont="1" applyFill="1" applyBorder="1" applyAlignment="1" applyProtection="1">
      <alignment vertical="center"/>
    </xf>
    <xf numFmtId="2" fontId="2" fillId="2" borderId="46" xfId="3" applyNumberFormat="1" applyFont="1" applyFill="1" applyBorder="1" applyAlignment="1" applyProtection="1">
      <alignment vertical="center"/>
      <protection locked="0"/>
    </xf>
    <xf numFmtId="44" fontId="2" fillId="2" borderId="46" xfId="3" applyFont="1" applyFill="1" applyBorder="1" applyAlignment="1" applyProtection="1">
      <alignment vertical="center"/>
      <protection locked="0"/>
    </xf>
    <xf numFmtId="2" fontId="2" fillId="2" borderId="49" xfId="3" applyNumberFormat="1" applyFont="1" applyFill="1" applyBorder="1" applyAlignment="1" applyProtection="1">
      <alignment vertical="center"/>
      <protection locked="0"/>
    </xf>
    <xf numFmtId="0" fontId="2" fillId="0" borderId="3" xfId="21" applyNumberFormat="1" applyFont="1" applyFill="1" applyBorder="1" applyAlignment="1" applyProtection="1">
      <alignment vertical="center"/>
    </xf>
    <xf numFmtId="2" fontId="2" fillId="2" borderId="51" xfId="3" applyNumberFormat="1" applyFont="1" applyFill="1" applyBorder="1" applyAlignment="1" applyProtection="1">
      <alignment vertical="center"/>
      <protection locked="0"/>
    </xf>
    <xf numFmtId="44" fontId="2" fillId="2" borderId="51" xfId="3" applyFont="1" applyFill="1" applyBorder="1" applyAlignment="1" applyProtection="1">
      <alignment vertical="center"/>
      <protection locked="0"/>
    </xf>
    <xf numFmtId="2" fontId="2" fillId="2" borderId="70" xfId="3" applyNumberFormat="1" applyFont="1" applyFill="1" applyBorder="1" applyAlignment="1" applyProtection="1">
      <alignment vertical="center"/>
      <protection locked="0"/>
    </xf>
    <xf numFmtId="44" fontId="2" fillId="2" borderId="76" xfId="3" applyFont="1" applyFill="1" applyBorder="1" applyAlignment="1" applyProtection="1">
      <alignment vertical="center"/>
      <protection locked="0"/>
    </xf>
    <xf numFmtId="44" fontId="2" fillId="2" borderId="40" xfId="3" applyFont="1" applyFill="1" applyBorder="1" applyAlignment="1" applyProtection="1">
      <alignment vertical="center"/>
      <protection locked="0"/>
    </xf>
    <xf numFmtId="44" fontId="2" fillId="2" borderId="49" xfId="3" applyFont="1" applyFill="1" applyBorder="1" applyAlignment="1" applyProtection="1">
      <alignment vertical="center"/>
      <protection locked="0"/>
    </xf>
    <xf numFmtId="5" fontId="2" fillId="3" borderId="24" xfId="24" applyNumberFormat="1" applyFont="1" applyFill="1" applyBorder="1" applyAlignment="1" applyProtection="1">
      <alignment horizontal="center"/>
    </xf>
    <xf numFmtId="2" fontId="2" fillId="3" borderId="24" xfId="24" applyNumberFormat="1" applyFont="1" applyFill="1" applyBorder="1" applyAlignment="1" applyProtection="1">
      <alignment horizontal="center"/>
    </xf>
    <xf numFmtId="44" fontId="2" fillId="3" borderId="24" xfId="3" applyFont="1" applyFill="1" applyBorder="1" applyAlignment="1" applyProtection="1">
      <alignment horizontal="center"/>
    </xf>
    <xf numFmtId="2" fontId="2" fillId="0" borderId="0" xfId="24" applyNumberFormat="1" applyFont="1" applyBorder="1" applyProtection="1"/>
    <xf numFmtId="44" fontId="2" fillId="0" borderId="0" xfId="3" applyFont="1" applyBorder="1" applyProtection="1"/>
    <xf numFmtId="0" fontId="7" fillId="0" borderId="93" xfId="0" applyFont="1" applyBorder="1" applyAlignment="1">
      <alignment horizontal="center"/>
    </xf>
    <xf numFmtId="0" fontId="7" fillId="0" borderId="78" xfId="0" applyFont="1" applyBorder="1" applyAlignment="1">
      <alignment horizontal="center"/>
    </xf>
    <xf numFmtId="0" fontId="48" fillId="0" borderId="98" xfId="0" applyFont="1" applyFill="1" applyBorder="1" applyAlignment="1">
      <alignment horizontal="center" vertical="center"/>
    </xf>
    <xf numFmtId="0" fontId="48" fillId="0" borderId="8" xfId="0" applyFont="1" applyFill="1" applyBorder="1" applyAlignment="1">
      <alignment horizontal="center" vertical="center"/>
    </xf>
    <xf numFmtId="5" fontId="5" fillId="0" borderId="0" xfId="3" applyNumberFormat="1" applyFont="1" applyFill="1" applyAlignment="1">
      <alignment horizontal="center"/>
    </xf>
    <xf numFmtId="2" fontId="36" fillId="0" borderId="40" xfId="21" applyNumberFormat="1" applyFont="1" applyFill="1" applyBorder="1" applyAlignment="1" applyProtection="1">
      <alignment horizontal="center" vertical="center"/>
    </xf>
    <xf numFmtId="2" fontId="36" fillId="0" borderId="40" xfId="21" applyNumberFormat="1" applyFont="1" applyFill="1" applyBorder="1" applyAlignment="1" applyProtection="1">
      <alignment horizontal="left" vertical="center" wrapText="1"/>
    </xf>
    <xf numFmtId="0" fontId="36" fillId="2" borderId="46" xfId="26" applyFont="1" applyFill="1" applyBorder="1" applyAlignment="1" applyProtection="1">
      <alignment vertical="center"/>
      <protection locked="0"/>
    </xf>
    <xf numFmtId="164" fontId="36" fillId="2" borderId="48" xfId="24" applyNumberFormat="1" applyFont="1" applyFill="1" applyBorder="1" applyAlignment="1" applyProtection="1">
      <alignment horizontal="center" vertical="center"/>
      <protection locked="0"/>
    </xf>
    <xf numFmtId="164" fontId="36" fillId="2" borderId="46" xfId="24" applyNumberFormat="1" applyFont="1" applyFill="1" applyBorder="1" applyAlignment="1" applyProtection="1">
      <alignment horizontal="center" vertical="center"/>
      <protection locked="0"/>
    </xf>
    <xf numFmtId="164" fontId="36" fillId="2" borderId="14" xfId="7" applyNumberFormat="1" applyFont="1" applyFill="1" applyBorder="1" applyAlignment="1" applyProtection="1">
      <alignment horizontal="center" vertical="center"/>
      <protection locked="0"/>
    </xf>
    <xf numFmtId="164" fontId="36" fillId="2" borderId="46" xfId="7" applyNumberFormat="1" applyFont="1" applyFill="1" applyBorder="1" applyAlignment="1" applyProtection="1">
      <alignment horizontal="center" vertical="center"/>
      <protection locked="0"/>
    </xf>
    <xf numFmtId="2" fontId="36" fillId="0" borderId="3" xfId="21" applyNumberFormat="1" applyFont="1" applyFill="1" applyBorder="1" applyAlignment="1" applyProtection="1">
      <alignment horizontal="left" vertical="center" wrapText="1"/>
    </xf>
    <xf numFmtId="0" fontId="36" fillId="2" borderId="51" xfId="25" applyFont="1" applyFill="1" applyBorder="1" applyAlignment="1" applyProtection="1">
      <alignment vertical="center"/>
      <protection locked="0"/>
    </xf>
    <xf numFmtId="0" fontId="36" fillId="0" borderId="9" xfId="25" applyFont="1" applyFill="1" applyBorder="1" applyAlignment="1" applyProtection="1">
      <alignment vertical="center"/>
    </xf>
    <xf numFmtId="0" fontId="36" fillId="0" borderId="7" xfId="25" applyFont="1" applyFill="1" applyBorder="1" applyAlignment="1" applyProtection="1">
      <alignment vertical="center"/>
    </xf>
    <xf numFmtId="0" fontId="36" fillId="0" borderId="3" xfId="25" applyFont="1" applyFill="1" applyBorder="1" applyAlignment="1" applyProtection="1">
      <alignment horizontal="left" vertical="center"/>
    </xf>
    <xf numFmtId="0" fontId="36" fillId="0" borderId="3" xfId="25" applyFont="1" applyFill="1" applyBorder="1" applyAlignment="1" applyProtection="1">
      <alignment vertical="center"/>
    </xf>
    <xf numFmtId="164" fontId="36" fillId="0" borderId="53" xfId="25" applyNumberFormat="1" applyFont="1" applyFill="1" applyBorder="1" applyAlignment="1" applyProtection="1">
      <alignment horizontal="center" vertical="center"/>
    </xf>
    <xf numFmtId="164" fontId="36" fillId="0" borderId="9" xfId="25" applyNumberFormat="1" applyFont="1" applyFill="1" applyBorder="1" applyAlignment="1" applyProtection="1">
      <alignment horizontal="center" vertical="center"/>
    </xf>
    <xf numFmtId="164" fontId="36" fillId="0" borderId="54" xfId="25" applyNumberFormat="1" applyFont="1" applyFill="1" applyBorder="1" applyAlignment="1" applyProtection="1">
      <alignment horizontal="center" vertical="center"/>
    </xf>
    <xf numFmtId="0" fontId="36" fillId="0" borderId="0" xfId="25" applyFont="1" applyFill="1" applyBorder="1" applyAlignment="1" applyProtection="1">
      <alignment vertical="center"/>
    </xf>
    <xf numFmtId="0" fontId="36" fillId="0" borderId="0" xfId="25" applyFont="1" applyFill="1" applyBorder="1" applyAlignment="1" applyProtection="1">
      <alignment horizontal="left" vertical="center"/>
    </xf>
    <xf numFmtId="164" fontId="36" fillId="0" borderId="0" xfId="25" applyNumberFormat="1" applyFont="1" applyFill="1" applyBorder="1" applyAlignment="1" applyProtection="1">
      <alignment horizontal="center" vertical="center"/>
    </xf>
    <xf numFmtId="0" fontId="48" fillId="0" borderId="10" xfId="16" applyFont="1" applyBorder="1" applyAlignment="1" applyProtection="1">
      <alignment horizontal="left" vertical="center"/>
    </xf>
    <xf numFmtId="0" fontId="48" fillId="0" borderId="10" xfId="16" applyFont="1" applyBorder="1" applyAlignment="1" applyProtection="1"/>
    <xf numFmtId="49" fontId="48" fillId="0" borderId="10" xfId="16" applyNumberFormat="1" applyFont="1" applyBorder="1" applyAlignment="1" applyProtection="1">
      <alignment horizontal="left" wrapText="1"/>
    </xf>
    <xf numFmtId="1" fontId="36" fillId="0" borderId="10" xfId="16" applyNumberFormat="1" applyFont="1" applyBorder="1" applyAlignment="1" applyProtection="1">
      <alignment horizontal="center" wrapText="1"/>
    </xf>
    <xf numFmtId="1" fontId="36" fillId="0" borderId="10" xfId="16" applyNumberFormat="1" applyFont="1" applyFill="1" applyBorder="1" applyAlignment="1" applyProtection="1">
      <alignment horizontal="center" wrapText="1"/>
    </xf>
    <xf numFmtId="0" fontId="36" fillId="0" borderId="10" xfId="16" applyFont="1" applyBorder="1" applyProtection="1"/>
    <xf numFmtId="2" fontId="36" fillId="0" borderId="40" xfId="21" applyNumberFormat="1" applyFont="1" applyFill="1" applyBorder="1" applyAlignment="1" applyProtection="1">
      <alignment horizontal="left" vertical="center"/>
    </xf>
    <xf numFmtId="0" fontId="36" fillId="2" borderId="49" xfId="25" applyFont="1" applyFill="1" applyBorder="1" applyAlignment="1" applyProtection="1">
      <alignment vertical="center"/>
      <protection locked="0"/>
    </xf>
    <xf numFmtId="2" fontId="36" fillId="0" borderId="3" xfId="21" applyNumberFormat="1" applyFont="1" applyFill="1" applyBorder="1" applyAlignment="1" applyProtection="1">
      <alignment horizontal="left" vertical="center"/>
    </xf>
    <xf numFmtId="164" fontId="36" fillId="2" borderId="51" xfId="24" applyNumberFormat="1" applyFont="1" applyFill="1" applyBorder="1" applyAlignment="1" applyProtection="1">
      <alignment horizontal="center" vertical="center"/>
      <protection locked="0"/>
    </xf>
    <xf numFmtId="164" fontId="36" fillId="2" borderId="51" xfId="7" applyNumberFormat="1" applyFont="1" applyFill="1" applyBorder="1" applyAlignment="1" applyProtection="1">
      <alignment horizontal="center" vertical="center"/>
      <protection locked="0"/>
    </xf>
    <xf numFmtId="0" fontId="36" fillId="0" borderId="7" xfId="25" applyFont="1" applyFill="1" applyBorder="1" applyAlignment="1" applyProtection="1">
      <alignment horizontal="left" vertical="center"/>
    </xf>
    <xf numFmtId="0" fontId="36" fillId="0" borderId="0" xfId="24" applyFont="1" applyBorder="1" applyAlignment="1" applyProtection="1">
      <alignment horizontal="center" vertical="center"/>
    </xf>
    <xf numFmtId="0" fontId="36" fillId="0" borderId="0" xfId="24" applyFont="1" applyBorder="1" applyAlignment="1" applyProtection="1">
      <alignment vertical="center"/>
    </xf>
    <xf numFmtId="164" fontId="36" fillId="0" borderId="0" xfId="24" applyNumberFormat="1" applyFont="1" applyBorder="1" applyAlignment="1" applyProtection="1">
      <alignment vertical="center"/>
    </xf>
    <xf numFmtId="164" fontId="36" fillId="0" borderId="0" xfId="7" applyNumberFormat="1" applyFont="1" applyBorder="1" applyAlignment="1" applyProtection="1">
      <alignment vertical="center"/>
    </xf>
    <xf numFmtId="0" fontId="48" fillId="0" borderId="0" xfId="7" applyNumberFormat="1" applyFont="1" applyBorder="1" applyAlignment="1" applyProtection="1">
      <alignment horizontal="right" vertical="center"/>
    </xf>
    <xf numFmtId="1" fontId="2" fillId="0" borderId="0" xfId="16" applyNumberFormat="1" applyFont="1" applyAlignment="1" applyProtection="1">
      <alignment horizontal="center"/>
      <protection locked="0"/>
    </xf>
    <xf numFmtId="0" fontId="2" fillId="0" borderId="0" xfId="16" applyBorder="1" applyAlignment="1" applyProtection="1">
      <alignment horizontal="left"/>
      <protection locked="0"/>
    </xf>
    <xf numFmtId="0" fontId="2" fillId="0" borderId="0" xfId="16" applyAlignment="1" applyProtection="1">
      <alignment horizontal="left"/>
      <protection locked="0"/>
    </xf>
    <xf numFmtId="0" fontId="0" fillId="0" borderId="0" xfId="0" applyProtection="1">
      <protection locked="0"/>
    </xf>
    <xf numFmtId="0" fontId="5" fillId="0" borderId="0" xfId="16" applyNumberFormat="1" applyFont="1" applyBorder="1" applyAlignment="1" applyProtection="1">
      <alignment horizontal="left"/>
      <protection locked="0"/>
    </xf>
    <xf numFmtId="0" fontId="8" fillId="0" borderId="0" xfId="16" applyFont="1" applyAlignment="1" applyProtection="1">
      <protection locked="0"/>
    </xf>
    <xf numFmtId="1" fontId="8" fillId="0" borderId="0" xfId="16" applyNumberFormat="1" applyFont="1" applyAlignment="1" applyProtection="1">
      <alignment horizontal="center"/>
      <protection locked="0"/>
    </xf>
    <xf numFmtId="1" fontId="11" fillId="0" borderId="0" xfId="16" applyNumberFormat="1" applyFont="1" applyAlignment="1" applyProtection="1">
      <alignment horizontal="center"/>
      <protection locked="0"/>
    </xf>
    <xf numFmtId="0" fontId="2" fillId="0" borderId="0" xfId="16" applyProtection="1">
      <protection locked="0"/>
    </xf>
    <xf numFmtId="0" fontId="13" fillId="0" borderId="0" xfId="16" applyFont="1" applyProtection="1">
      <protection locked="0"/>
    </xf>
    <xf numFmtId="0" fontId="12" fillId="0" borderId="66" xfId="16" applyFont="1" applyBorder="1" applyAlignment="1" applyProtection="1">
      <alignment horizontal="center" wrapText="1"/>
      <protection locked="0"/>
    </xf>
    <xf numFmtId="165" fontId="13" fillId="0" borderId="0" xfId="16" applyNumberFormat="1" applyFont="1" applyBorder="1" applyProtection="1">
      <protection locked="0"/>
    </xf>
    <xf numFmtId="165" fontId="13" fillId="0" borderId="0" xfId="16" applyNumberFormat="1" applyFont="1" applyProtection="1">
      <protection locked="0"/>
    </xf>
    <xf numFmtId="0" fontId="7" fillId="0" borderId="4" xfId="16" applyNumberFormat="1" applyFont="1" applyBorder="1" applyAlignment="1" applyProtection="1">
      <alignment horizontal="left" vertical="center" wrapText="1"/>
      <protection locked="0"/>
    </xf>
    <xf numFmtId="1" fontId="8" fillId="0" borderId="4" xfId="16" applyNumberFormat="1" applyFont="1" applyBorder="1" applyAlignment="1" applyProtection="1">
      <alignment horizontal="center" wrapText="1"/>
      <protection locked="0"/>
    </xf>
    <xf numFmtId="0" fontId="15" fillId="0" borderId="0" xfId="16" applyFont="1" applyProtection="1">
      <protection locked="0"/>
    </xf>
    <xf numFmtId="0" fontId="7" fillId="0" borderId="74" xfId="16" applyNumberFormat="1" applyFont="1" applyFill="1" applyBorder="1" applyAlignment="1" applyProtection="1">
      <alignment horizontal="left"/>
      <protection locked="0"/>
    </xf>
    <xf numFmtId="0" fontId="16" fillId="0" borderId="0" xfId="16" applyFont="1" applyFill="1" applyProtection="1">
      <protection locked="0"/>
    </xf>
    <xf numFmtId="0" fontId="16" fillId="0" borderId="0" xfId="16" applyFont="1" applyProtection="1">
      <protection locked="0"/>
    </xf>
    <xf numFmtId="0" fontId="12" fillId="0" borderId="71" xfId="16" applyNumberFormat="1" applyFont="1" applyBorder="1" applyAlignment="1" applyProtection="1">
      <alignment horizontal="centerContinuous" wrapText="1"/>
      <protection locked="0"/>
    </xf>
    <xf numFmtId="0" fontId="8" fillId="0" borderId="10" xfId="16" applyFont="1" applyBorder="1" applyProtection="1">
      <protection locked="0"/>
    </xf>
    <xf numFmtId="0" fontId="4" fillId="0" borderId="0" xfId="20" applyProtection="1">
      <protection locked="0"/>
    </xf>
    <xf numFmtId="1" fontId="8" fillId="0" borderId="10" xfId="16" applyNumberFormat="1" applyFont="1" applyBorder="1" applyAlignment="1" applyProtection="1">
      <alignment horizontal="center" wrapText="1"/>
      <protection locked="0"/>
    </xf>
    <xf numFmtId="0" fontId="2" fillId="0" borderId="0" xfId="16" applyNumberFormat="1" applyFont="1" applyBorder="1" applyProtection="1">
      <protection locked="0"/>
    </xf>
    <xf numFmtId="0" fontId="7" fillId="0" borderId="0" xfId="16" applyNumberFormat="1" applyFont="1" applyFill="1" applyBorder="1" applyAlignment="1" applyProtection="1">
      <alignment horizontal="left"/>
      <protection locked="0"/>
    </xf>
    <xf numFmtId="0" fontId="12" fillId="0" borderId="0" xfId="16" applyFont="1" applyFill="1" applyBorder="1" applyAlignment="1" applyProtection="1">
      <alignment horizontal="right"/>
      <protection locked="0"/>
    </xf>
    <xf numFmtId="0" fontId="0" fillId="0" borderId="0" xfId="0" applyNumberFormat="1" applyProtection="1">
      <protection locked="0"/>
    </xf>
    <xf numFmtId="0" fontId="29" fillId="0" borderId="0" xfId="0" applyFont="1" applyAlignment="1" applyProtection="1">
      <alignment horizontal="right"/>
      <protection locked="0"/>
    </xf>
    <xf numFmtId="0" fontId="29" fillId="0" borderId="0" xfId="0" applyFont="1" applyAlignment="1" applyProtection="1">
      <alignment horizontal="center"/>
      <protection locked="0"/>
    </xf>
    <xf numFmtId="0" fontId="0" fillId="0" borderId="0" xfId="0" applyProtection="1"/>
    <xf numFmtId="14" fontId="49" fillId="0" borderId="0" xfId="23" applyNumberFormat="1" applyFont="1" applyFill="1" applyAlignment="1" applyProtection="1">
      <alignment horizontal="left"/>
      <protection locked="0"/>
    </xf>
    <xf numFmtId="0" fontId="50" fillId="0" borderId="0" xfId="23" applyFont="1" applyFill="1" applyAlignment="1" applyProtection="1">
      <alignment horizontal="left"/>
      <protection locked="0"/>
    </xf>
    <xf numFmtId="0" fontId="19" fillId="0" borderId="0" xfId="23" applyFont="1" applyFill="1" applyAlignment="1" applyProtection="1">
      <alignment horizontal="center"/>
    </xf>
    <xf numFmtId="167" fontId="39" fillId="0" borderId="18" xfId="22" applyNumberFormat="1" applyFont="1" applyBorder="1" applyAlignment="1" applyProtection="1">
      <alignment horizontal="left" vertical="center"/>
    </xf>
    <xf numFmtId="0" fontId="43" fillId="4" borderId="93" xfId="25" applyFont="1" applyFill="1" applyBorder="1" applyAlignment="1" applyProtection="1">
      <alignment horizontal="center"/>
    </xf>
    <xf numFmtId="0" fontId="2" fillId="0" borderId="102" xfId="24" applyFont="1" applyBorder="1" applyAlignment="1" applyProtection="1">
      <alignment horizontal="center"/>
    </xf>
    <xf numFmtId="169" fontId="7" fillId="0" borderId="102" xfId="24" applyNumberFormat="1" applyFont="1" applyBorder="1" applyAlignment="1" applyProtection="1">
      <alignment horizontal="left"/>
    </xf>
    <xf numFmtId="49" fontId="7" fillId="0" borderId="102" xfId="24" applyNumberFormat="1" applyFont="1" applyBorder="1" applyAlignment="1" applyProtection="1">
      <alignment horizontal="center"/>
    </xf>
    <xf numFmtId="49" fontId="7" fillId="0" borderId="103" xfId="24" applyNumberFormat="1" applyFont="1" applyBorder="1" applyAlignment="1" applyProtection="1">
      <alignment horizontal="center"/>
    </xf>
    <xf numFmtId="0" fontId="7" fillId="0" borderId="68" xfId="16" applyNumberFormat="1" applyFont="1" applyBorder="1" applyAlignment="1" applyProtection="1">
      <alignment horizontal="center"/>
    </xf>
    <xf numFmtId="0" fontId="36" fillId="0" borderId="8" xfId="25" applyFont="1" applyFill="1" applyBorder="1" applyAlignment="1" applyProtection="1">
      <alignment vertical="center"/>
    </xf>
    <xf numFmtId="0" fontId="36" fillId="0" borderId="18" xfId="25" applyFont="1" applyFill="1" applyBorder="1" applyAlignment="1" applyProtection="1">
      <alignment vertical="center"/>
    </xf>
    <xf numFmtId="49" fontId="48" fillId="0" borderId="71" xfId="16" applyNumberFormat="1" applyFont="1" applyBorder="1" applyAlignment="1" applyProtection="1">
      <alignment horizontal="center"/>
    </xf>
    <xf numFmtId="0" fontId="2" fillId="0" borderId="18" xfId="0" applyFont="1" applyBorder="1"/>
    <xf numFmtId="44" fontId="7" fillId="0" borderId="5" xfId="3" applyFont="1" applyBorder="1" applyAlignment="1" applyProtection="1"/>
    <xf numFmtId="44" fontId="2" fillId="0" borderId="86" xfId="3" applyFont="1" applyFill="1" applyBorder="1" applyAlignment="1" applyProtection="1">
      <alignment horizontal="center" vertical="center"/>
      <protection locked="0"/>
    </xf>
    <xf numFmtId="44" fontId="2" fillId="0" borderId="12" xfId="3" applyFont="1" applyFill="1" applyBorder="1" applyAlignment="1" applyProtection="1">
      <alignment horizontal="center" vertical="center"/>
      <protection locked="0"/>
    </xf>
    <xf numFmtId="44" fontId="2" fillId="0" borderId="29" xfId="3" applyFont="1" applyFill="1" applyBorder="1" applyAlignment="1" applyProtection="1">
      <alignment horizontal="center" vertical="center"/>
      <protection locked="0"/>
    </xf>
    <xf numFmtId="44" fontId="2" fillId="0" borderId="17" xfId="3" applyFont="1" applyBorder="1"/>
    <xf numFmtId="0" fontId="27" fillId="0" borderId="0" xfId="23" applyFont="1" applyFill="1" applyAlignment="1" applyProtection="1">
      <protection locked="0"/>
    </xf>
    <xf numFmtId="0" fontId="19" fillId="0" borderId="0" xfId="23" applyFont="1" applyFill="1" applyAlignment="1" applyProtection="1"/>
    <xf numFmtId="0" fontId="51" fillId="0" borderId="0" xfId="23" applyFont="1" applyFill="1" applyAlignment="1" applyProtection="1">
      <alignment horizontal="left"/>
      <protection locked="0"/>
    </xf>
    <xf numFmtId="0" fontId="27" fillId="0" borderId="0" xfId="23" applyFont="1" applyFill="1" applyAlignment="1" applyProtection="1">
      <alignment horizontal="center"/>
    </xf>
    <xf numFmtId="2" fontId="14" fillId="0" borderId="0" xfId="17" applyNumberFormat="1" applyFont="1" applyBorder="1" applyAlignment="1" applyProtection="1">
      <alignment horizontal="left" vertical="center"/>
    </xf>
    <xf numFmtId="14" fontId="51" fillId="0" borderId="0" xfId="23" applyNumberFormat="1" applyFont="1" applyFill="1" applyAlignment="1" applyProtection="1">
      <alignment horizontal="left"/>
      <protection locked="0"/>
    </xf>
    <xf numFmtId="0" fontId="52" fillId="0" borderId="0" xfId="23" applyFont="1" applyFill="1" applyAlignment="1" applyProtection="1">
      <alignment horizontal="left"/>
      <protection locked="0"/>
    </xf>
    <xf numFmtId="14" fontId="53" fillId="0" borderId="0" xfId="23" applyNumberFormat="1" applyFont="1" applyFill="1" applyAlignment="1" applyProtection="1">
      <alignment horizontal="left"/>
      <protection locked="0"/>
    </xf>
    <xf numFmtId="2" fontId="14" fillId="0" borderId="18" xfId="17" applyNumberFormat="1" applyFont="1" applyBorder="1" applyAlignment="1" applyProtection="1">
      <alignment horizontal="left" vertical="center"/>
    </xf>
    <xf numFmtId="165" fontId="2" fillId="0" borderId="0" xfId="3" applyNumberFormat="1" applyFont="1" applyBorder="1" applyAlignment="1" applyProtection="1">
      <alignment horizontal="left" vertical="center"/>
    </xf>
    <xf numFmtId="0" fontId="51" fillId="0" borderId="0" xfId="23" applyFont="1" applyFill="1" applyBorder="1" applyAlignment="1" applyProtection="1">
      <alignment horizontal="left"/>
      <protection locked="0"/>
    </xf>
    <xf numFmtId="0" fontId="51" fillId="0" borderId="0" xfId="16" applyNumberFormat="1" applyFont="1" applyBorder="1" applyAlignment="1" applyProtection="1">
      <alignment horizontal="left" vertical="center"/>
      <protection locked="0"/>
    </xf>
    <xf numFmtId="0" fontId="51" fillId="0" borderId="0" xfId="23" applyFont="1" applyFill="1" applyAlignment="1" applyProtection="1">
      <protection locked="0"/>
    </xf>
    <xf numFmtId="0" fontId="19" fillId="0" borderId="0" xfId="0" applyFont="1" applyAlignment="1" applyProtection="1">
      <alignment horizontal="left" vertical="center"/>
    </xf>
    <xf numFmtId="171" fontId="19" fillId="0" borderId="0" xfId="3" applyNumberFormat="1" applyFont="1" applyAlignment="1" applyProtection="1">
      <alignment vertical="center"/>
      <protection locked="0"/>
    </xf>
    <xf numFmtId="44" fontId="8" fillId="0" borderId="107" xfId="3" applyFont="1" applyBorder="1" applyAlignment="1" applyProtection="1">
      <alignment horizontal="center" wrapText="1"/>
    </xf>
    <xf numFmtId="44" fontId="12" fillId="0" borderId="108" xfId="3" applyFont="1" applyBorder="1" applyAlignment="1" applyProtection="1">
      <alignment horizontal="center" wrapText="1"/>
    </xf>
    <xf numFmtId="0" fontId="12" fillId="0" borderId="12" xfId="16" applyFont="1" applyBorder="1" applyAlignment="1" applyProtection="1">
      <alignment horizontal="center" wrapText="1"/>
      <protection locked="0"/>
    </xf>
    <xf numFmtId="0" fontId="13" fillId="0" borderId="0" xfId="16" applyFont="1" applyAlignment="1" applyProtection="1">
      <alignment wrapText="1"/>
      <protection locked="0"/>
    </xf>
    <xf numFmtId="0" fontId="0" fillId="0" borderId="0" xfId="0" applyAlignment="1" applyProtection="1">
      <alignment wrapText="1"/>
      <protection locked="0"/>
    </xf>
    <xf numFmtId="0" fontId="0" fillId="0" borderId="0" xfId="0" applyAlignment="1">
      <alignment horizontal="center"/>
    </xf>
    <xf numFmtId="0" fontId="2" fillId="0" borderId="0" xfId="17" applyFont="1" applyAlignment="1" applyProtection="1">
      <alignment horizontal="center" vertical="center"/>
    </xf>
    <xf numFmtId="0" fontId="22" fillId="0" borderId="0" xfId="17" applyFont="1" applyAlignment="1" applyProtection="1">
      <alignment horizontal="center" vertical="center"/>
    </xf>
    <xf numFmtId="0" fontId="2" fillId="0" borderId="43" xfId="24" applyFont="1" applyBorder="1" applyAlignment="1" applyProtection="1">
      <alignment horizontal="center"/>
    </xf>
    <xf numFmtId="0" fontId="2" fillId="0" borderId="0" xfId="17" applyNumberFormat="1" applyFont="1" applyBorder="1" applyAlignment="1" applyProtection="1">
      <alignment horizontal="left" vertical="center"/>
    </xf>
    <xf numFmtId="44" fontId="2" fillId="0" borderId="0" xfId="3" applyFont="1" applyBorder="1" applyAlignment="1" applyProtection="1">
      <alignment horizontal="left" vertical="center"/>
    </xf>
    <xf numFmtId="166" fontId="14" fillId="0" borderId="0" xfId="17" applyNumberFormat="1" applyFont="1" applyBorder="1" applyAlignment="1" applyProtection="1">
      <alignment horizontal="right" vertical="center"/>
    </xf>
    <xf numFmtId="166" fontId="42" fillId="0" borderId="0" xfId="17" applyNumberFormat="1" applyFont="1" applyBorder="1" applyAlignment="1" applyProtection="1">
      <alignment horizontal="right" vertical="center"/>
    </xf>
    <xf numFmtId="164" fontId="2" fillId="2" borderId="59" xfId="24" applyNumberFormat="1" applyFont="1" applyFill="1" applyBorder="1" applyAlignment="1" applyProtection="1">
      <alignment horizontal="center" vertical="center"/>
      <protection locked="0"/>
    </xf>
    <xf numFmtId="164" fontId="2" fillId="2" borderId="60" xfId="24" applyNumberFormat="1" applyFont="1" applyFill="1" applyBorder="1" applyAlignment="1" applyProtection="1">
      <alignment horizontal="center" vertical="center"/>
      <protection locked="0"/>
    </xf>
    <xf numFmtId="164" fontId="2" fillId="2" borderId="60" xfId="7" applyNumberFormat="1" applyFont="1" applyFill="1" applyBorder="1" applyAlignment="1" applyProtection="1">
      <alignment horizontal="center" vertical="center"/>
      <protection locked="0"/>
    </xf>
    <xf numFmtId="164" fontId="2" fillId="2" borderId="16" xfId="7" applyNumberFormat="1" applyFont="1" applyFill="1" applyBorder="1" applyAlignment="1" applyProtection="1">
      <alignment horizontal="center" vertical="center"/>
      <protection locked="0"/>
    </xf>
    <xf numFmtId="2" fontId="37" fillId="0" borderId="0" xfId="22" applyNumberFormat="1" applyFont="1" applyBorder="1" applyAlignment="1" applyProtection="1">
      <alignment horizontal="left" vertical="center"/>
    </xf>
    <xf numFmtId="44" fontId="37" fillId="0" borderId="0" xfId="3" applyFont="1" applyBorder="1" applyAlignment="1" applyProtection="1">
      <alignment horizontal="left" vertical="center"/>
    </xf>
    <xf numFmtId="44" fontId="2" fillId="0" borderId="0" xfId="3" applyFont="1" applyBorder="1" applyAlignment="1" applyProtection="1">
      <alignment vertical="center"/>
    </xf>
    <xf numFmtId="2" fontId="2" fillId="0" borderId="24" xfId="17" applyNumberFormat="1" applyFont="1" applyBorder="1" applyAlignment="1" applyProtection="1">
      <alignment vertical="center"/>
    </xf>
    <xf numFmtId="0" fontId="0" fillId="0" borderId="24" xfId="0" applyBorder="1" applyAlignment="1">
      <alignment vertical="center"/>
    </xf>
    <xf numFmtId="0" fontId="54" fillId="0" borderId="0" xfId="0" applyFont="1" applyAlignment="1">
      <alignment vertical="center"/>
    </xf>
    <xf numFmtId="44" fontId="58" fillId="4" borderId="62" xfId="3" applyFont="1" applyFill="1" applyBorder="1" applyAlignment="1" applyProtection="1">
      <alignment vertical="center"/>
    </xf>
    <xf numFmtId="5" fontId="7" fillId="3" borderId="24" xfId="24" applyNumberFormat="1" applyFont="1" applyFill="1" applyBorder="1" applyAlignment="1" applyProtection="1">
      <alignment horizontal="left"/>
    </xf>
    <xf numFmtId="0" fontId="27" fillId="0" borderId="97" xfId="0" applyFont="1" applyFill="1" applyBorder="1" applyAlignment="1">
      <alignment horizontal="center" vertical="center" wrapText="1"/>
    </xf>
    <xf numFmtId="0" fontId="27" fillId="0" borderId="97" xfId="0" applyFont="1" applyFill="1" applyBorder="1" applyAlignment="1">
      <alignment horizontal="center" vertical="center"/>
    </xf>
    <xf numFmtId="0" fontId="27" fillId="0" borderId="41" xfId="0" applyFont="1" applyFill="1" applyBorder="1" applyAlignment="1">
      <alignment horizontal="center" vertical="center"/>
    </xf>
    <xf numFmtId="0" fontId="27" fillId="0" borderId="12" xfId="0" applyFont="1" applyFill="1" applyBorder="1" applyAlignment="1">
      <alignment horizontal="center" vertical="center"/>
    </xf>
    <xf numFmtId="0" fontId="27" fillId="0" borderId="41" xfId="8" applyFont="1" applyFill="1" applyBorder="1" applyAlignment="1">
      <alignment horizontal="center" vertical="center"/>
    </xf>
    <xf numFmtId="0" fontId="27" fillId="0" borderId="12" xfId="8" applyFont="1" applyFill="1" applyBorder="1" applyAlignment="1">
      <alignment horizontal="center" vertical="center"/>
    </xf>
    <xf numFmtId="164" fontId="36" fillId="0" borderId="98" xfId="0" applyNumberFormat="1" applyFont="1" applyFill="1" applyBorder="1" applyAlignment="1">
      <alignment horizontal="center" vertical="center"/>
    </xf>
    <xf numFmtId="164" fontId="36" fillId="0" borderId="61" xfId="0" applyNumberFormat="1" applyFont="1" applyFill="1" applyBorder="1" applyAlignment="1">
      <alignment horizontal="center" vertical="center"/>
    </xf>
    <xf numFmtId="164" fontId="36" fillId="0" borderId="100" xfId="0" applyNumberFormat="1" applyFont="1" applyFill="1" applyBorder="1" applyAlignment="1">
      <alignment horizontal="center" vertical="center"/>
    </xf>
    <xf numFmtId="164" fontId="36" fillId="0" borderId="8" xfId="0" applyNumberFormat="1" applyFont="1" applyFill="1" applyBorder="1" applyAlignment="1">
      <alignment horizontal="center" vertical="center"/>
    </xf>
    <xf numFmtId="164" fontId="36" fillId="0" borderId="7" xfId="0" applyNumberFormat="1" applyFont="1" applyFill="1" applyBorder="1" applyAlignment="1">
      <alignment horizontal="center" vertical="center"/>
    </xf>
    <xf numFmtId="164" fontId="36" fillId="0" borderId="95" xfId="0" applyNumberFormat="1" applyFont="1" applyFill="1" applyBorder="1" applyAlignment="1">
      <alignment horizontal="center" vertical="center"/>
    </xf>
    <xf numFmtId="164" fontId="36" fillId="0" borderId="96" xfId="0" applyNumberFormat="1" applyFont="1" applyFill="1" applyBorder="1" applyAlignment="1">
      <alignment horizontal="center" vertical="center"/>
    </xf>
    <xf numFmtId="164" fontId="36" fillId="0" borderId="91" xfId="0" applyNumberFormat="1" applyFont="1" applyFill="1" applyBorder="1" applyAlignment="1">
      <alignment horizontal="center" vertical="center"/>
    </xf>
    <xf numFmtId="164" fontId="36" fillId="0" borderId="66" xfId="0" applyNumberFormat="1" applyFont="1" applyFill="1" applyBorder="1" applyAlignment="1">
      <alignment horizontal="center" vertical="center"/>
    </xf>
    <xf numFmtId="0" fontId="27" fillId="0" borderId="88" xfId="0" applyFont="1" applyFill="1" applyBorder="1" applyAlignment="1">
      <alignment horizontal="center" vertical="center"/>
    </xf>
    <xf numFmtId="0" fontId="27" fillId="0" borderId="0" xfId="8" applyFont="1" applyFill="1" applyBorder="1" applyAlignment="1">
      <alignment horizontal="center" vertical="center"/>
    </xf>
    <xf numFmtId="0" fontId="27" fillId="0" borderId="88" xfId="8" applyFont="1" applyFill="1" applyBorder="1" applyAlignment="1">
      <alignment horizontal="center" vertical="center"/>
    </xf>
    <xf numFmtId="2" fontId="36" fillId="0" borderId="99" xfId="0" quotePrefix="1" applyNumberFormat="1" applyFont="1" applyFill="1" applyBorder="1" applyAlignment="1">
      <alignment horizontal="center" vertical="center"/>
    </xf>
    <xf numFmtId="9" fontId="36" fillId="0" borderId="67" xfId="27" applyFont="1" applyFill="1" applyBorder="1" applyAlignment="1">
      <alignment horizontal="center" vertical="center"/>
    </xf>
    <xf numFmtId="9" fontId="36" fillId="0" borderId="61" xfId="27" applyFont="1" applyFill="1" applyBorder="1" applyAlignment="1">
      <alignment horizontal="center" vertical="center"/>
    </xf>
    <xf numFmtId="9" fontId="36" fillId="0" borderId="100" xfId="27" applyFont="1" applyFill="1" applyBorder="1" applyAlignment="1">
      <alignment horizontal="center" vertical="center"/>
    </xf>
    <xf numFmtId="2" fontId="36" fillId="0" borderId="82" xfId="0" quotePrefix="1" applyNumberFormat="1" applyFont="1" applyFill="1" applyBorder="1" applyAlignment="1">
      <alignment horizontal="center" vertical="center"/>
    </xf>
    <xf numFmtId="9" fontId="36" fillId="0" borderId="9" xfId="27" applyFont="1" applyFill="1" applyBorder="1" applyAlignment="1">
      <alignment horizontal="center" vertical="center"/>
    </xf>
    <xf numFmtId="9" fontId="36" fillId="0" borderId="7" xfId="27" applyFont="1" applyFill="1" applyBorder="1" applyAlignment="1">
      <alignment horizontal="center" vertical="center"/>
    </xf>
    <xf numFmtId="9" fontId="36" fillId="0" borderId="95" xfId="27" applyFont="1" applyFill="1" applyBorder="1" applyAlignment="1">
      <alignment horizontal="center" vertical="center"/>
    </xf>
    <xf numFmtId="0" fontId="36" fillId="0" borderId="82" xfId="0" quotePrefix="1" applyNumberFormat="1" applyFont="1" applyFill="1" applyBorder="1" applyAlignment="1">
      <alignment horizontal="center" vertical="center"/>
    </xf>
    <xf numFmtId="9" fontId="36" fillId="0" borderId="70" xfId="27" applyFont="1" applyFill="1" applyBorder="1" applyAlignment="1">
      <alignment horizontal="center" vertical="center"/>
    </xf>
    <xf numFmtId="9" fontId="36" fillId="0" borderId="91" xfId="27" applyFont="1" applyFill="1" applyBorder="1" applyAlignment="1">
      <alignment horizontal="center" vertical="center"/>
    </xf>
    <xf numFmtId="9" fontId="36" fillId="0" borderId="66" xfId="27" applyFont="1" applyFill="1" applyBorder="1" applyAlignment="1">
      <alignment horizontal="center" vertical="center"/>
    </xf>
    <xf numFmtId="0" fontId="7" fillId="8" borderId="69" xfId="8" applyFont="1" applyFill="1" applyBorder="1" applyAlignment="1">
      <alignment horizontal="center" vertical="center"/>
    </xf>
    <xf numFmtId="44" fontId="27" fillId="7" borderId="7" xfId="3" applyFont="1" applyFill="1" applyBorder="1" applyAlignment="1">
      <alignment horizontal="center" vertical="center"/>
    </xf>
    <xf numFmtId="0" fontId="27" fillId="7" borderId="7" xfId="8" applyFont="1" applyFill="1" applyBorder="1" applyAlignment="1">
      <alignment horizontal="center" vertical="center"/>
    </xf>
    <xf numFmtId="0" fontId="27" fillId="0" borderId="7" xfId="8" applyFont="1" applyBorder="1" applyAlignment="1">
      <alignment horizontal="center" vertical="center"/>
    </xf>
    <xf numFmtId="0" fontId="27" fillId="0" borderId="82" xfId="8" applyFont="1" applyBorder="1" applyAlignment="1">
      <alignment horizontal="center" vertical="center" wrapText="1"/>
    </xf>
    <xf numFmtId="0" fontId="27" fillId="6" borderId="7" xfId="8" applyFont="1" applyFill="1" applyBorder="1" applyAlignment="1">
      <alignment horizontal="center" vertical="center"/>
    </xf>
    <xf numFmtId="0" fontId="27" fillId="6" borderId="82" xfId="8" applyFont="1" applyFill="1" applyBorder="1" applyAlignment="1">
      <alignment horizontal="center" vertical="center" wrapText="1"/>
    </xf>
    <xf numFmtId="0" fontId="27" fillId="8" borderId="87" xfId="8" applyFont="1" applyFill="1" applyBorder="1" applyAlignment="1">
      <alignment horizontal="center" vertical="center"/>
    </xf>
    <xf numFmtId="164" fontId="2" fillId="7" borderId="41" xfId="3" applyNumberFormat="1" applyFont="1" applyFill="1" applyBorder="1" applyAlignment="1">
      <alignment horizontal="center" vertical="center"/>
    </xf>
    <xf numFmtId="164" fontId="2" fillId="7" borderId="88" xfId="3" applyNumberFormat="1" applyFont="1" applyFill="1" applyBorder="1" applyAlignment="1">
      <alignment horizontal="center" vertical="center"/>
    </xf>
    <xf numFmtId="164" fontId="2" fillId="0" borderId="41" xfId="3" applyNumberFormat="1" applyFont="1" applyFill="1" applyBorder="1" applyAlignment="1">
      <alignment horizontal="center" vertical="center"/>
    </xf>
    <xf numFmtId="164" fontId="2" fillId="0" borderId="88" xfId="8" applyNumberFormat="1" applyFont="1" applyFill="1" applyBorder="1" applyAlignment="1">
      <alignment horizontal="center" vertical="center"/>
    </xf>
    <xf numFmtId="164" fontId="2" fillId="6" borderId="41" xfId="8" applyNumberFormat="1" applyFont="1" applyFill="1" applyBorder="1" applyAlignment="1">
      <alignment horizontal="center" vertical="center"/>
    </xf>
    <xf numFmtId="164" fontId="2" fillId="6" borderId="88" xfId="8" applyNumberFormat="1" applyFont="1" applyFill="1" applyBorder="1" applyAlignment="1">
      <alignment horizontal="center" vertical="center"/>
    </xf>
    <xf numFmtId="164" fontId="2" fillId="8" borderId="89" xfId="8" applyNumberFormat="1" applyFont="1" applyFill="1" applyBorder="1" applyAlignment="1">
      <alignment horizontal="center" vertical="center"/>
    </xf>
    <xf numFmtId="164" fontId="2" fillId="7" borderId="25" xfId="3" applyNumberFormat="1" applyFont="1" applyFill="1" applyBorder="1" applyAlignment="1">
      <alignment horizontal="center" vertical="center"/>
    </xf>
    <xf numFmtId="164" fontId="2" fillId="0" borderId="25" xfId="3" applyNumberFormat="1" applyFont="1" applyBorder="1" applyAlignment="1">
      <alignment horizontal="center" vertical="center"/>
    </xf>
    <xf numFmtId="164" fontId="2" fillId="6" borderId="25" xfId="3" applyNumberFormat="1" applyFont="1" applyFill="1" applyBorder="1" applyAlignment="1">
      <alignment horizontal="center" vertical="center"/>
    </xf>
    <xf numFmtId="164" fontId="2" fillId="8" borderId="90" xfId="3" applyNumberFormat="1" applyFont="1" applyFill="1" applyBorder="1" applyAlignment="1">
      <alignment horizontal="center" vertical="center"/>
    </xf>
    <xf numFmtId="0" fontId="2" fillId="0" borderId="0" xfId="0" applyFont="1" applyAlignment="1">
      <alignment horizontal="center" vertical="center"/>
    </xf>
    <xf numFmtId="0" fontId="19" fillId="0" borderId="0" xfId="0" applyFont="1" applyAlignment="1">
      <alignment horizontal="center" vertical="center"/>
    </xf>
    <xf numFmtId="0" fontId="3" fillId="0" borderId="0" xfId="0" applyFont="1" applyAlignment="1">
      <alignment horizontal="center" vertical="center"/>
    </xf>
    <xf numFmtId="164" fontId="2" fillId="0" borderId="0" xfId="0" applyNumberFormat="1" applyFont="1" applyAlignment="1">
      <alignment horizontal="center" vertical="center"/>
    </xf>
    <xf numFmtId="0" fontId="5" fillId="0" borderId="0" xfId="0" applyFont="1" applyAlignment="1">
      <alignment horizontal="right" vertical="center"/>
    </xf>
    <xf numFmtId="0" fontId="59" fillId="0" borderId="0" xfId="23" applyFont="1" applyFill="1" applyAlignment="1" applyProtection="1">
      <alignment horizontal="left"/>
      <protection locked="0"/>
    </xf>
    <xf numFmtId="0" fontId="60" fillId="0" borderId="0" xfId="17" applyFont="1" applyBorder="1" applyProtection="1"/>
    <xf numFmtId="7" fontId="60" fillId="0" borderId="0" xfId="17" applyNumberFormat="1" applyFont="1" applyBorder="1" applyProtection="1"/>
    <xf numFmtId="0" fontId="60" fillId="0" borderId="0" xfId="17" applyFont="1" applyFill="1" applyBorder="1" applyProtection="1"/>
    <xf numFmtId="0" fontId="61" fillId="0" borderId="0" xfId="23" applyFont="1" applyFill="1" applyAlignment="1" applyProtection="1">
      <alignment horizontal="left"/>
      <protection locked="0"/>
    </xf>
    <xf numFmtId="14" fontId="61" fillId="0" borderId="0" xfId="23" applyNumberFormat="1" applyFont="1" applyFill="1" applyAlignment="1" applyProtection="1">
      <alignment horizontal="left"/>
      <protection locked="0"/>
    </xf>
    <xf numFmtId="0" fontId="62" fillId="0" borderId="0" xfId="22" applyFont="1" applyFill="1" applyBorder="1" applyAlignment="1" applyProtection="1">
      <alignment horizontal="left" vertical="center"/>
    </xf>
    <xf numFmtId="0" fontId="62" fillId="0" borderId="0" xfId="0" applyNumberFormat="1" applyFont="1" applyFill="1" applyBorder="1" applyAlignment="1" applyProtection="1">
      <alignment horizontal="left" vertical="center"/>
    </xf>
    <xf numFmtId="0" fontId="63" fillId="0" borderId="0" xfId="0" applyFont="1" applyFill="1" applyBorder="1" applyAlignment="1" applyProtection="1">
      <alignment horizontal="left" vertical="center"/>
    </xf>
    <xf numFmtId="7" fontId="62" fillId="0" borderId="0" xfId="17" applyNumberFormat="1" applyFont="1" applyFill="1" applyBorder="1" applyAlignment="1" applyProtection="1">
      <alignment horizontal="left" vertical="center"/>
    </xf>
    <xf numFmtId="0" fontId="60" fillId="0" borderId="0" xfId="0" applyFont="1" applyFill="1" applyBorder="1" applyAlignment="1" applyProtection="1">
      <alignment vertical="center"/>
    </xf>
    <xf numFmtId="0" fontId="62" fillId="0" borderId="0" xfId="17" applyNumberFormat="1" applyFont="1" applyFill="1" applyBorder="1" applyAlignment="1" applyProtection="1">
      <alignment horizontal="right" vertical="center"/>
    </xf>
    <xf numFmtId="0" fontId="60" fillId="0" borderId="0" xfId="17" applyFont="1" applyBorder="1" applyAlignment="1" applyProtection="1">
      <alignment vertical="center"/>
    </xf>
    <xf numFmtId="0" fontId="61" fillId="0" borderId="0" xfId="23" applyFont="1" applyFill="1" applyBorder="1" applyAlignment="1" applyProtection="1">
      <alignment horizontal="left"/>
      <protection locked="0"/>
    </xf>
    <xf numFmtId="0" fontId="60" fillId="0" borderId="0" xfId="17" applyFont="1" applyAlignment="1" applyProtection="1">
      <alignment vertical="center"/>
    </xf>
    <xf numFmtId="0" fontId="64" fillId="0" borderId="0" xfId="22" applyFont="1" applyBorder="1" applyAlignment="1" applyProtection="1">
      <alignment horizontal="left" vertical="center"/>
    </xf>
    <xf numFmtId="0" fontId="60" fillId="0" borderId="0" xfId="0" applyFont="1" applyBorder="1" applyProtection="1"/>
    <xf numFmtId="7" fontId="64" fillId="0" borderId="0" xfId="17" applyNumberFormat="1" applyFont="1" applyFill="1" applyBorder="1" applyAlignment="1" applyProtection="1">
      <alignment horizontal="left" vertical="center"/>
    </xf>
    <xf numFmtId="0" fontId="60" fillId="0" borderId="0" xfId="0" applyFont="1" applyBorder="1" applyAlignment="1" applyProtection="1">
      <alignment vertical="center"/>
    </xf>
    <xf numFmtId="166" fontId="64" fillId="0" borderId="4" xfId="17" applyNumberFormat="1" applyFont="1" applyBorder="1" applyAlignment="1" applyProtection="1">
      <alignment horizontal="right" vertical="center"/>
    </xf>
    <xf numFmtId="2" fontId="65" fillId="0" borderId="19" xfId="17" applyNumberFormat="1" applyFont="1" applyBorder="1" applyAlignment="1" applyProtection="1">
      <alignment horizontal="left" vertical="center"/>
    </xf>
    <xf numFmtId="0" fontId="65" fillId="0" borderId="20" xfId="17" applyNumberFormat="1" applyFont="1" applyBorder="1" applyAlignment="1" applyProtection="1">
      <alignment horizontal="left" vertical="center"/>
    </xf>
    <xf numFmtId="164" fontId="60" fillId="0" borderId="20" xfId="17" applyNumberFormat="1" applyFont="1" applyBorder="1" applyAlignment="1" applyProtection="1">
      <alignment vertical="center"/>
    </xf>
    <xf numFmtId="0" fontId="60" fillId="0" borderId="20" xfId="0" applyFont="1" applyBorder="1" applyAlignment="1" applyProtection="1">
      <alignment vertical="center"/>
    </xf>
    <xf numFmtId="49" fontId="65" fillId="0" borderId="20" xfId="17" applyNumberFormat="1" applyFont="1" applyFill="1" applyBorder="1" applyAlignment="1" applyProtection="1">
      <alignment horizontal="left" vertical="center"/>
    </xf>
    <xf numFmtId="0" fontId="60" fillId="0" borderId="20" xfId="17" applyFont="1" applyBorder="1" applyAlignment="1" applyProtection="1">
      <alignment vertical="center"/>
    </xf>
    <xf numFmtId="166" fontId="65" fillId="0" borderId="1" xfId="17" applyNumberFormat="1" applyFont="1" applyBorder="1" applyAlignment="1" applyProtection="1">
      <alignment horizontal="right" vertical="center"/>
    </xf>
    <xf numFmtId="2" fontId="65" fillId="0" borderId="18" xfId="17" applyNumberFormat="1" applyFont="1" applyBorder="1" applyAlignment="1" applyProtection="1">
      <alignment horizontal="left" vertical="center"/>
    </xf>
    <xf numFmtId="0" fontId="65" fillId="0" borderId="0" xfId="17" applyNumberFormat="1" applyFont="1" applyFill="1" applyBorder="1" applyAlignment="1" applyProtection="1">
      <alignment horizontal="left" vertical="center"/>
    </xf>
    <xf numFmtId="164" fontId="60" fillId="0" borderId="0" xfId="17" applyNumberFormat="1" applyFont="1" applyAlignment="1" applyProtection="1">
      <alignment vertical="center"/>
    </xf>
    <xf numFmtId="49" fontId="65" fillId="0" borderId="0" xfId="17" applyNumberFormat="1" applyFont="1" applyFill="1" applyBorder="1" applyAlignment="1" applyProtection="1">
      <alignment horizontal="left" vertical="center"/>
    </xf>
    <xf numFmtId="166" fontId="65" fillId="0" borderId="17" xfId="17" applyNumberFormat="1" applyFont="1" applyBorder="1" applyAlignment="1" applyProtection="1">
      <alignment horizontal="right" vertical="center"/>
    </xf>
    <xf numFmtId="2" fontId="65" fillId="0" borderId="0" xfId="17" applyNumberFormat="1" applyFont="1" applyBorder="1" applyAlignment="1" applyProtection="1">
      <alignment horizontal="left" vertical="center"/>
    </xf>
    <xf numFmtId="167" fontId="66" fillId="0" borderId="18" xfId="22" applyNumberFormat="1" applyFont="1" applyBorder="1" applyAlignment="1" applyProtection="1">
      <alignment horizontal="left" vertical="center"/>
    </xf>
    <xf numFmtId="167" fontId="66" fillId="0" borderId="0" xfId="22" applyNumberFormat="1" applyFont="1" applyBorder="1" applyAlignment="1" applyProtection="1">
      <alignment horizontal="left" vertical="center"/>
    </xf>
    <xf numFmtId="0" fontId="67" fillId="0" borderId="0" xfId="22" applyNumberFormat="1" applyFont="1" applyBorder="1" applyAlignment="1" applyProtection="1">
      <alignment horizontal="left" vertical="center"/>
    </xf>
    <xf numFmtId="0" fontId="60" fillId="0" borderId="0" xfId="0" applyFont="1" applyBorder="1" applyAlignment="1" applyProtection="1">
      <alignment horizontal="right" vertical="center"/>
    </xf>
    <xf numFmtId="0" fontId="60" fillId="0" borderId="0" xfId="0" applyFont="1" applyFill="1" applyBorder="1" applyAlignment="1" applyProtection="1">
      <alignment horizontal="right" vertical="center"/>
    </xf>
    <xf numFmtId="0" fontId="66" fillId="0" borderId="0" xfId="22" applyNumberFormat="1" applyFont="1" applyBorder="1" applyAlignment="1" applyProtection="1">
      <alignment horizontal="left" vertical="center"/>
    </xf>
    <xf numFmtId="0" fontId="66" fillId="0" borderId="0" xfId="22" applyNumberFormat="1" applyFont="1" applyFill="1" applyBorder="1" applyAlignment="1" applyProtection="1">
      <alignment horizontal="left" vertical="center"/>
    </xf>
    <xf numFmtId="0" fontId="68" fillId="0" borderId="19" xfId="17" applyFont="1" applyBorder="1" applyAlignment="1" applyProtection="1">
      <alignment horizontal="left"/>
    </xf>
    <xf numFmtId="0" fontId="68" fillId="0" borderId="20" xfId="17" applyFont="1" applyBorder="1" applyAlignment="1" applyProtection="1">
      <alignment horizontal="left"/>
    </xf>
    <xf numFmtId="7" fontId="68" fillId="0" borderId="22" xfId="17" applyNumberFormat="1" applyFont="1" applyBorder="1" applyAlignment="1" applyProtection="1">
      <alignment horizontal="center"/>
    </xf>
    <xf numFmtId="2" fontId="68" fillId="0" borderId="110" xfId="22" applyNumberFormat="1" applyFont="1" applyBorder="1" applyAlignment="1" applyProtection="1">
      <alignment horizontal="centerContinuous" vertical="center"/>
    </xf>
    <xf numFmtId="2" fontId="68" fillId="0" borderId="67" xfId="22" applyNumberFormat="1" applyFont="1" applyBorder="1" applyAlignment="1" applyProtection="1">
      <alignment horizontal="centerContinuous" vertical="center"/>
    </xf>
    <xf numFmtId="2" fontId="68" fillId="0" borderId="61" xfId="22" applyNumberFormat="1" applyFont="1" applyBorder="1" applyAlignment="1" applyProtection="1">
      <alignment horizontal="centerContinuous" vertical="center"/>
    </xf>
    <xf numFmtId="0" fontId="68" fillId="0" borderId="21" xfId="17" applyFont="1" applyBorder="1" applyAlignment="1" applyProtection="1">
      <alignment horizontal="center"/>
    </xf>
    <xf numFmtId="0" fontId="68" fillId="0" borderId="22" xfId="17" applyFont="1" applyBorder="1" applyAlignment="1" applyProtection="1">
      <alignment horizontal="center"/>
    </xf>
    <xf numFmtId="0" fontId="60" fillId="0" borderId="0" xfId="17" applyFont="1" applyProtection="1"/>
    <xf numFmtId="7" fontId="68" fillId="0" borderId="105" xfId="17" applyNumberFormat="1" applyFont="1" applyBorder="1" applyAlignment="1" applyProtection="1">
      <alignment horizontal="center" vertical="top"/>
    </xf>
    <xf numFmtId="2" fontId="68" fillId="0" borderId="92" xfId="22" applyNumberFormat="1" applyFont="1" applyBorder="1" applyAlignment="1" applyProtection="1">
      <alignment horizontal="center" vertical="center"/>
    </xf>
    <xf numFmtId="2" fontId="68" fillId="0" borderId="25" xfId="22" applyNumberFormat="1" applyFont="1" applyBorder="1" applyAlignment="1" applyProtection="1">
      <alignment horizontal="center" vertical="center"/>
    </xf>
    <xf numFmtId="0" fontId="68" fillId="0" borderId="26" xfId="17" applyFont="1" applyBorder="1" applyAlignment="1" applyProtection="1">
      <alignment horizontal="center" vertical="top"/>
    </xf>
    <xf numFmtId="0" fontId="69" fillId="0" borderId="0" xfId="17" applyFont="1" applyProtection="1"/>
    <xf numFmtId="1" fontId="60" fillId="0" borderId="64" xfId="0" applyNumberFormat="1" applyFont="1" applyFill="1" applyBorder="1" applyAlignment="1" applyProtection="1">
      <alignment vertical="center"/>
    </xf>
    <xf numFmtId="1" fontId="60" fillId="0" borderId="31" xfId="0" applyNumberFormat="1" applyFont="1" applyFill="1" applyBorder="1" applyAlignment="1" applyProtection="1">
      <alignment vertical="center"/>
    </xf>
    <xf numFmtId="0" fontId="60" fillId="0" borderId="31" xfId="0" applyNumberFormat="1" applyFont="1" applyFill="1" applyBorder="1" applyAlignment="1" applyProtection="1">
      <alignment vertical="center"/>
    </xf>
    <xf numFmtId="1" fontId="60" fillId="3" borderId="111" xfId="22" applyNumberFormat="1" applyFont="1" applyFill="1" applyBorder="1" applyAlignment="1" applyProtection="1">
      <alignment horizontal="center" vertical="center"/>
    </xf>
    <xf numFmtId="1" fontId="60" fillId="0" borderId="81" xfId="22" applyNumberFormat="1" applyFont="1" applyFill="1" applyBorder="1" applyAlignment="1" applyProtection="1">
      <alignment horizontal="center" vertical="center"/>
    </xf>
    <xf numFmtId="0" fontId="70" fillId="0" borderId="0" xfId="17" applyFont="1" applyAlignment="1" applyProtection="1">
      <alignment horizontal="center"/>
    </xf>
    <xf numFmtId="1" fontId="70" fillId="0" borderId="0" xfId="17" applyNumberFormat="1" applyFont="1" applyProtection="1"/>
    <xf numFmtId="1" fontId="60" fillId="0" borderId="68" xfId="0" applyNumberFormat="1" applyFont="1" applyFill="1" applyBorder="1" applyAlignment="1" applyProtection="1">
      <alignment vertical="center"/>
    </xf>
    <xf numFmtId="7" fontId="68" fillId="0" borderId="10" xfId="17" applyNumberFormat="1" applyFont="1" applyBorder="1" applyAlignment="1" applyProtection="1">
      <alignment horizontal="center" vertical="center"/>
    </xf>
    <xf numFmtId="0" fontId="68" fillId="0" borderId="2" xfId="17" applyFont="1" applyBorder="1" applyAlignment="1" applyProtection="1">
      <alignment vertical="center"/>
    </xf>
    <xf numFmtId="1" fontId="68" fillId="0" borderId="33" xfId="17" applyNumberFormat="1" applyFont="1" applyBorder="1" applyAlignment="1" applyProtection="1">
      <alignment horizontal="center" vertical="center"/>
    </xf>
    <xf numFmtId="1" fontId="68" fillId="0" borderId="32" xfId="17" applyNumberFormat="1" applyFont="1" applyBorder="1" applyAlignment="1" applyProtection="1">
      <alignment horizontal="center" vertical="center"/>
    </xf>
    <xf numFmtId="0" fontId="68" fillId="0" borderId="0" xfId="17" applyFont="1" applyProtection="1"/>
    <xf numFmtId="7" fontId="60" fillId="0" borderId="0" xfId="17" applyNumberFormat="1" applyFont="1" applyProtection="1"/>
    <xf numFmtId="0" fontId="60" fillId="0" borderId="0" xfId="17" applyFont="1" applyFill="1" applyProtection="1"/>
    <xf numFmtId="0" fontId="71" fillId="0" borderId="0" xfId="0" applyFont="1"/>
    <xf numFmtId="0" fontId="72" fillId="0" borderId="0" xfId="23" applyFont="1" applyAlignment="1" applyProtection="1">
      <alignment horizontal="center"/>
    </xf>
    <xf numFmtId="0" fontId="71" fillId="0" borderId="0" xfId="23" applyFont="1"/>
    <xf numFmtId="14" fontId="73" fillId="0" borderId="0" xfId="23" applyNumberFormat="1" applyFont="1" applyFill="1" applyAlignment="1" applyProtection="1">
      <alignment horizontal="left"/>
      <protection locked="0"/>
    </xf>
    <xf numFmtId="0" fontId="71" fillId="0" borderId="0" xfId="23" applyFont="1" applyProtection="1"/>
    <xf numFmtId="0" fontId="72" fillId="0" borderId="62" xfId="23" applyFont="1" applyBorder="1" applyAlignment="1" applyProtection="1">
      <alignment horizontal="center" vertical="center" wrapText="1"/>
    </xf>
    <xf numFmtId="0" fontId="72" fillId="0" borderId="101" xfId="23" applyFont="1" applyBorder="1" applyAlignment="1" applyProtection="1">
      <alignment horizontal="center" vertical="center" wrapText="1"/>
    </xf>
    <xf numFmtId="0" fontId="74" fillId="0" borderId="0" xfId="0" applyFont="1"/>
    <xf numFmtId="49" fontId="71" fillId="2" borderId="80" xfId="23" applyNumberFormat="1" applyFont="1" applyFill="1" applyBorder="1" applyAlignment="1" applyProtection="1">
      <alignment horizontal="center"/>
      <protection locked="0"/>
    </xf>
    <xf numFmtId="49" fontId="71" fillId="2" borderId="48" xfId="23" applyNumberFormat="1" applyFont="1" applyFill="1" applyBorder="1" applyAlignment="1" applyProtection="1">
      <alignment horizontal="center"/>
      <protection locked="0"/>
    </xf>
    <xf numFmtId="0" fontId="76" fillId="0" borderId="0" xfId="23" applyFont="1" applyFill="1" applyAlignment="1" applyProtection="1">
      <alignment horizontal="left"/>
      <protection locked="0"/>
    </xf>
    <xf numFmtId="0" fontId="77" fillId="0" borderId="0" xfId="23" applyFont="1" applyFill="1" applyAlignment="1" applyProtection="1">
      <alignment vertical="top"/>
      <protection locked="0"/>
    </xf>
    <xf numFmtId="44" fontId="77" fillId="0" borderId="0" xfId="3" applyNumberFormat="1" applyFont="1" applyFill="1" applyAlignment="1" applyProtection="1">
      <alignment horizontal="right" vertical="top"/>
      <protection locked="0"/>
    </xf>
    <xf numFmtId="10" fontId="78" fillId="0" borderId="0" xfId="27" applyNumberFormat="1" applyFont="1" applyAlignment="1" applyProtection="1">
      <alignment horizontal="center" vertical="top"/>
      <protection locked="0"/>
    </xf>
    <xf numFmtId="0" fontId="78" fillId="0" borderId="0" xfId="0" applyFont="1" applyAlignment="1" applyProtection="1">
      <alignment horizontal="center" vertical="top"/>
      <protection locked="0"/>
    </xf>
    <xf numFmtId="0" fontId="78" fillId="0" borderId="0" xfId="0" applyFont="1" applyAlignment="1" applyProtection="1">
      <alignment vertical="top"/>
      <protection locked="0"/>
    </xf>
    <xf numFmtId="0" fontId="78" fillId="0" borderId="0" xfId="0" applyFont="1" applyAlignment="1" applyProtection="1">
      <alignment horizontal="left" vertical="top"/>
      <protection locked="0"/>
    </xf>
    <xf numFmtId="44" fontId="78" fillId="0" borderId="0" xfId="3" applyFont="1" applyAlignment="1" applyProtection="1">
      <alignment horizontal="left" vertical="top"/>
      <protection locked="0"/>
    </xf>
    <xf numFmtId="0" fontId="79" fillId="0" borderId="0" xfId="19" applyFont="1" applyFill="1" applyBorder="1" applyAlignment="1" applyProtection="1">
      <alignment horizontal="left" vertical="top"/>
      <protection locked="0"/>
    </xf>
    <xf numFmtId="0" fontId="80" fillId="0" borderId="0" xfId="23" applyFont="1" applyFill="1" applyAlignment="1" applyProtection="1">
      <alignment horizontal="left"/>
      <protection locked="0"/>
    </xf>
    <xf numFmtId="0" fontId="78" fillId="0" borderId="0" xfId="23" applyFont="1" applyFill="1" applyAlignment="1" applyProtection="1">
      <alignment vertical="top"/>
    </xf>
    <xf numFmtId="44" fontId="78" fillId="0" borderId="0" xfId="3" applyNumberFormat="1" applyFont="1" applyFill="1" applyAlignment="1" applyProtection="1">
      <alignment horizontal="right" vertical="top"/>
    </xf>
    <xf numFmtId="10" fontId="78" fillId="0" borderId="0" xfId="27" applyNumberFormat="1" applyFont="1" applyAlignment="1" applyProtection="1">
      <alignment horizontal="center" vertical="top"/>
    </xf>
    <xf numFmtId="14" fontId="80" fillId="0" borderId="0" xfId="23" applyNumberFormat="1" applyFont="1" applyFill="1" applyAlignment="1" applyProtection="1">
      <alignment horizontal="left"/>
      <protection locked="0"/>
    </xf>
    <xf numFmtId="0" fontId="78" fillId="0" borderId="0" xfId="23" applyNumberFormat="1" applyFont="1" applyFill="1" applyAlignment="1" applyProtection="1">
      <alignment vertical="top"/>
    </xf>
    <xf numFmtId="44" fontId="78" fillId="0" borderId="0" xfId="3" applyNumberFormat="1" applyFont="1" applyAlignment="1" applyProtection="1">
      <alignment horizontal="right" vertical="top"/>
      <protection locked="0"/>
    </xf>
    <xf numFmtId="10" fontId="78" fillId="0" borderId="0" xfId="27" applyNumberFormat="1" applyFont="1" applyFill="1" applyAlignment="1" applyProtection="1">
      <alignment horizontal="center" vertical="top"/>
      <protection locked="0"/>
    </xf>
    <xf numFmtId="0" fontId="78" fillId="0" borderId="0" xfId="0" applyNumberFormat="1" applyFont="1" applyAlignment="1" applyProtection="1">
      <alignment vertical="top"/>
      <protection locked="0"/>
    </xf>
    <xf numFmtId="0" fontId="81" fillId="0" borderId="0" xfId="0" applyFont="1" applyAlignment="1" applyProtection="1">
      <alignment horizontal="center" vertical="top"/>
      <protection locked="0"/>
    </xf>
    <xf numFmtId="0" fontId="78" fillId="0" borderId="0" xfId="0" applyFont="1" applyAlignment="1" applyProtection="1">
      <alignment horizontal="left" vertical="top"/>
    </xf>
    <xf numFmtId="0" fontId="78" fillId="0" borderId="0" xfId="0" applyFont="1" applyAlignment="1" applyProtection="1">
      <alignment vertical="top"/>
    </xf>
    <xf numFmtId="0" fontId="82" fillId="0" borderId="0" xfId="0" applyFont="1" applyAlignment="1">
      <alignment vertical="center"/>
    </xf>
    <xf numFmtId="0" fontId="78" fillId="0" borderId="0" xfId="0" applyFont="1" applyBorder="1" applyAlignment="1" applyProtection="1">
      <alignment horizontal="left" vertical="top"/>
      <protection locked="0"/>
    </xf>
    <xf numFmtId="0" fontId="51" fillId="0" borderId="0" xfId="0" applyNumberFormat="1" applyFont="1" applyAlignment="1" applyProtection="1">
      <alignment vertical="top"/>
      <protection locked="0"/>
    </xf>
    <xf numFmtId="49" fontId="0" fillId="2" borderId="14" xfId="23" applyNumberFormat="1" applyFont="1" applyFill="1" applyBorder="1" applyProtection="1"/>
    <xf numFmtId="2" fontId="0" fillId="2" borderId="46" xfId="3" applyNumberFormat="1" applyFont="1" applyFill="1" applyBorder="1" applyAlignment="1" applyProtection="1">
      <alignment vertical="center"/>
      <protection locked="0"/>
    </xf>
    <xf numFmtId="44" fontId="0" fillId="2" borderId="46" xfId="3" applyFont="1" applyFill="1" applyBorder="1" applyAlignment="1" applyProtection="1">
      <alignment vertical="center"/>
      <protection locked="0"/>
    </xf>
    <xf numFmtId="14" fontId="51" fillId="0" borderId="0" xfId="23" applyNumberFormat="1" applyFont="1" applyFill="1" applyAlignment="1" applyProtection="1">
      <alignment horizontal="left" vertical="center"/>
    </xf>
    <xf numFmtId="0" fontId="52" fillId="0" borderId="0" xfId="23" applyFont="1" applyFill="1" applyAlignment="1" applyProtection="1">
      <alignment horizontal="left" vertical="center"/>
    </xf>
    <xf numFmtId="0" fontId="51" fillId="0" borderId="0" xfId="23" applyFont="1" applyFill="1" applyAlignment="1" applyProtection="1">
      <alignment horizontal="left" vertical="center"/>
    </xf>
    <xf numFmtId="1" fontId="8" fillId="0" borderId="28" xfId="16" applyNumberFormat="1" applyFont="1" applyFill="1" applyBorder="1" applyAlignment="1" applyProtection="1">
      <alignment horizontal="center"/>
    </xf>
    <xf numFmtId="44" fontId="27" fillId="9" borderId="10" xfId="3" applyNumberFormat="1" applyFont="1" applyFill="1" applyBorder="1" applyAlignment="1" applyProtection="1">
      <alignment horizontal="left" vertical="top" wrapText="1"/>
    </xf>
    <xf numFmtId="0" fontId="35" fillId="9" borderId="0" xfId="0" applyFont="1" applyFill="1" applyBorder="1" applyAlignment="1" applyProtection="1">
      <alignment horizontal="left" vertical="top"/>
      <protection locked="0"/>
    </xf>
    <xf numFmtId="44" fontId="35" fillId="9" borderId="0" xfId="3" applyFont="1" applyFill="1" applyBorder="1" applyAlignment="1" applyProtection="1">
      <alignment horizontal="left" vertical="top"/>
      <protection locked="0"/>
    </xf>
    <xf numFmtId="0" fontId="71" fillId="0" borderId="0" xfId="0" applyFont="1" applyAlignment="1">
      <alignment horizontal="left"/>
    </xf>
    <xf numFmtId="0" fontId="12" fillId="0" borderId="19" xfId="16" applyNumberFormat="1" applyFont="1" applyBorder="1" applyAlignment="1" applyProtection="1">
      <alignment horizontal="centerContinuous" wrapText="1"/>
      <protection locked="0"/>
    </xf>
    <xf numFmtId="0" fontId="12" fillId="0" borderId="77" xfId="16" applyNumberFormat="1" applyFont="1" applyBorder="1" applyAlignment="1" applyProtection="1">
      <alignment horizontal="centerContinuous" wrapText="1"/>
      <protection locked="0"/>
    </xf>
    <xf numFmtId="0" fontId="2" fillId="0" borderId="113" xfId="0" applyFont="1" applyBorder="1" applyProtection="1">
      <protection locked="0"/>
    </xf>
    <xf numFmtId="1" fontId="8" fillId="0" borderId="106" xfId="16" applyNumberFormat="1" applyFont="1" applyBorder="1" applyAlignment="1" applyProtection="1">
      <alignment horizontal="center" wrapText="1"/>
    </xf>
    <xf numFmtId="1" fontId="8" fillId="0" borderId="5" xfId="16" applyNumberFormat="1" applyFont="1" applyBorder="1" applyAlignment="1" applyProtection="1">
      <alignment horizontal="center" wrapText="1"/>
      <protection locked="0"/>
    </xf>
    <xf numFmtId="1" fontId="8" fillId="2" borderId="115" xfId="16" applyNumberFormat="1" applyFont="1" applyFill="1" applyBorder="1" applyAlignment="1" applyProtection="1">
      <alignment horizontal="center"/>
      <protection locked="0"/>
    </xf>
    <xf numFmtId="1" fontId="8" fillId="2" borderId="116" xfId="16" applyNumberFormat="1" applyFont="1" applyFill="1" applyBorder="1" applyAlignment="1" applyProtection="1">
      <alignment horizontal="center"/>
      <protection locked="0"/>
    </xf>
    <xf numFmtId="1" fontId="8" fillId="0" borderId="117" xfId="16" applyNumberFormat="1" applyFont="1" applyFill="1" applyBorder="1" applyAlignment="1" applyProtection="1">
      <alignment horizontal="center"/>
    </xf>
    <xf numFmtId="1" fontId="8" fillId="0" borderId="17" xfId="16" applyNumberFormat="1" applyFont="1" applyBorder="1" applyAlignment="1" applyProtection="1">
      <alignment horizontal="center"/>
      <protection locked="0"/>
    </xf>
    <xf numFmtId="1" fontId="8" fillId="0" borderId="2" xfId="16" applyNumberFormat="1" applyFont="1" applyBorder="1" applyAlignment="1" applyProtection="1">
      <alignment horizontal="center" wrapText="1"/>
      <protection locked="0"/>
    </xf>
    <xf numFmtId="1" fontId="8" fillId="0" borderId="67" xfId="16" applyNumberFormat="1" applyFont="1" applyBorder="1" applyAlignment="1" applyProtection="1">
      <alignment horizontal="center" vertical="center" wrapText="1"/>
      <protection locked="0"/>
    </xf>
    <xf numFmtId="1" fontId="8" fillId="0" borderId="114" xfId="16" applyNumberFormat="1" applyFont="1" applyBorder="1" applyAlignment="1" applyProtection="1">
      <alignment horizontal="center" vertical="center" wrapText="1"/>
      <protection locked="0"/>
    </xf>
    <xf numFmtId="1" fontId="8" fillId="0" borderId="3" xfId="16" applyNumberFormat="1" applyFont="1" applyBorder="1" applyAlignment="1" applyProtection="1">
      <alignment horizontal="center" vertical="center" wrapText="1"/>
      <protection locked="0"/>
    </xf>
    <xf numFmtId="1" fontId="8" fillId="0" borderId="115" xfId="16" applyNumberFormat="1" applyFont="1" applyBorder="1" applyAlignment="1" applyProtection="1">
      <alignment horizontal="center" vertical="center" wrapText="1"/>
      <protection locked="0"/>
    </xf>
    <xf numFmtId="44" fontId="8" fillId="0" borderId="70" xfId="3" applyFont="1" applyBorder="1" applyAlignment="1" applyProtection="1">
      <alignment horizontal="center" vertical="center" wrapText="1"/>
    </xf>
    <xf numFmtId="44" fontId="8" fillId="0" borderId="5" xfId="3" applyFont="1" applyBorder="1" applyAlignment="1" applyProtection="1">
      <alignment horizontal="center" vertical="center" wrapText="1"/>
    </xf>
    <xf numFmtId="0" fontId="0" fillId="2" borderId="82" xfId="16" applyFont="1" applyFill="1" applyBorder="1" applyAlignment="1" applyProtection="1">
      <alignment vertical="center" wrapText="1"/>
      <protection locked="0"/>
    </xf>
    <xf numFmtId="0" fontId="0" fillId="2" borderId="7" xfId="16" applyFont="1" applyFill="1" applyBorder="1" applyAlignment="1" applyProtection="1">
      <alignment vertical="center" wrapText="1"/>
      <protection locked="0"/>
    </xf>
    <xf numFmtId="0" fontId="2" fillId="2" borderId="7" xfId="16" applyFont="1" applyFill="1" applyBorder="1" applyAlignment="1" applyProtection="1">
      <alignment vertical="center" wrapText="1"/>
      <protection locked="0"/>
    </xf>
    <xf numFmtId="0" fontId="2" fillId="2" borderId="61" xfId="16" applyFont="1" applyFill="1" applyBorder="1" applyAlignment="1" applyProtection="1">
      <alignment vertical="center" wrapText="1"/>
      <protection locked="0"/>
    </xf>
    <xf numFmtId="0" fontId="2" fillId="2" borderId="13" xfId="16" applyFont="1" applyFill="1" applyBorder="1" applyAlignment="1" applyProtection="1">
      <alignment vertical="center" wrapText="1"/>
      <protection locked="0"/>
    </xf>
    <xf numFmtId="0" fontId="2" fillId="2" borderId="82" xfId="16" applyFont="1" applyFill="1" applyBorder="1" applyAlignment="1" applyProtection="1">
      <alignment vertical="center" wrapText="1"/>
      <protection locked="0"/>
    </xf>
    <xf numFmtId="10" fontId="27" fillId="9" borderId="1" xfId="27" applyNumberFormat="1" applyFont="1" applyFill="1" applyBorder="1" applyAlignment="1" applyProtection="1">
      <alignment horizontal="center"/>
    </xf>
    <xf numFmtId="0" fontId="27" fillId="9" borderId="5" xfId="0" applyFont="1" applyFill="1" applyBorder="1" applyAlignment="1" applyProtection="1">
      <alignment horizontal="center"/>
    </xf>
    <xf numFmtId="0" fontId="27" fillId="9" borderId="17" xfId="0" applyFont="1" applyFill="1" applyBorder="1" applyAlignment="1" applyProtection="1">
      <alignment horizontal="center"/>
    </xf>
    <xf numFmtId="44" fontId="19" fillId="9" borderId="17" xfId="3" applyFont="1" applyFill="1" applyBorder="1" applyAlignment="1" applyProtection="1">
      <alignment horizontal="right" wrapText="1" indent="1"/>
      <protection locked="0"/>
    </xf>
    <xf numFmtId="0" fontId="19" fillId="9" borderId="5" xfId="0" applyFont="1" applyFill="1" applyBorder="1" applyAlignment="1" applyProtection="1">
      <protection locked="0"/>
    </xf>
    <xf numFmtId="0" fontId="27" fillId="9" borderId="77" xfId="19" applyFont="1" applyFill="1" applyBorder="1" applyAlignment="1" applyProtection="1">
      <alignment horizontal="center"/>
    </xf>
    <xf numFmtId="0" fontId="27" fillId="9" borderId="70" xfId="0" applyFont="1" applyFill="1" applyBorder="1" applyAlignment="1" applyProtection="1">
      <alignment horizontal="center"/>
    </xf>
    <xf numFmtId="0" fontId="27" fillId="9" borderId="40" xfId="0" applyFont="1" applyFill="1" applyBorder="1" applyAlignment="1" applyProtection="1">
      <alignment horizontal="center"/>
    </xf>
    <xf numFmtId="44" fontId="19" fillId="9" borderId="40" xfId="3" applyFont="1" applyFill="1" applyBorder="1" applyAlignment="1" applyProtection="1">
      <alignment horizontal="right" wrapText="1" indent="1"/>
      <protection locked="0"/>
    </xf>
    <xf numFmtId="0" fontId="19" fillId="9" borderId="70" xfId="0" applyFont="1" applyFill="1" applyBorder="1" applyAlignment="1" applyProtection="1">
      <protection locked="0"/>
    </xf>
    <xf numFmtId="44" fontId="27" fillId="9" borderId="77" xfId="3" applyFont="1" applyFill="1" applyBorder="1" applyAlignment="1" applyProtection="1">
      <alignment horizontal="center"/>
    </xf>
    <xf numFmtId="44" fontId="27" fillId="9" borderId="70" xfId="3" applyFont="1" applyFill="1" applyBorder="1" applyAlignment="1" applyProtection="1">
      <alignment horizontal="center"/>
    </xf>
    <xf numFmtId="44" fontId="27" fillId="9" borderId="40" xfId="3" applyFont="1" applyFill="1" applyBorder="1" applyAlignment="1" applyProtection="1">
      <alignment horizontal="center"/>
    </xf>
    <xf numFmtId="44" fontId="19" fillId="9" borderId="70" xfId="3" applyFont="1" applyFill="1" applyBorder="1" applyAlignment="1" applyProtection="1">
      <alignment horizontal="right" wrapText="1" indent="1"/>
      <protection locked="0"/>
    </xf>
    <xf numFmtId="0" fontId="19" fillId="0" borderId="40" xfId="0" applyFont="1" applyBorder="1" applyProtection="1">
      <protection locked="0"/>
    </xf>
    <xf numFmtId="0" fontId="19" fillId="9" borderId="77" xfId="0" applyFont="1" applyFill="1" applyBorder="1" applyProtection="1"/>
    <xf numFmtId="44" fontId="19" fillId="9" borderId="40" xfId="3" applyFont="1" applyFill="1" applyBorder="1" applyAlignment="1" applyProtection="1">
      <alignment horizontal="right" indent="1"/>
      <protection locked="0"/>
    </xf>
    <xf numFmtId="0" fontId="19" fillId="9" borderId="70" xfId="0" applyFont="1" applyFill="1" applyBorder="1" applyAlignment="1" applyProtection="1">
      <alignment horizontal="right" wrapText="1" indent="1"/>
      <protection locked="0"/>
    </xf>
    <xf numFmtId="0" fontId="19" fillId="9" borderId="112" xfId="0" applyFont="1" applyFill="1" applyBorder="1" applyProtection="1"/>
    <xf numFmtId="0" fontId="27" fillId="9" borderId="96" xfId="0" applyFont="1" applyFill="1" applyBorder="1" applyAlignment="1" applyProtection="1"/>
    <xf numFmtId="0" fontId="27" fillId="9" borderId="97" xfId="0" applyFont="1" applyFill="1" applyBorder="1" applyAlignment="1" applyProtection="1"/>
    <xf numFmtId="0" fontId="19" fillId="9" borderId="97" xfId="0" applyFont="1" applyFill="1" applyBorder="1" applyAlignment="1" applyProtection="1">
      <alignment wrapText="1"/>
      <protection locked="0"/>
    </xf>
    <xf numFmtId="0" fontId="19" fillId="9" borderId="96" xfId="0" applyFont="1" applyFill="1" applyBorder="1" applyAlignment="1" applyProtection="1">
      <alignment wrapText="1"/>
      <protection locked="0"/>
    </xf>
    <xf numFmtId="0" fontId="7" fillId="0" borderId="119" xfId="16" applyNumberFormat="1" applyFont="1" applyFill="1" applyBorder="1" applyAlignment="1" applyProtection="1">
      <alignment horizontal="right"/>
      <protection locked="0"/>
    </xf>
    <xf numFmtId="0" fontId="2" fillId="0" borderId="119" xfId="16" quotePrefix="1" applyNumberFormat="1" applyFont="1" applyFill="1" applyBorder="1" applyAlignment="1" applyProtection="1">
      <alignment horizontal="left"/>
      <protection locked="0"/>
    </xf>
    <xf numFmtId="0" fontId="7" fillId="0" borderId="119" xfId="16" quotePrefix="1" applyNumberFormat="1" applyFont="1" applyFill="1" applyBorder="1" applyAlignment="1" applyProtection="1">
      <alignment horizontal="left"/>
      <protection locked="0"/>
    </xf>
    <xf numFmtId="1" fontId="8" fillId="0" borderId="120" xfId="16" applyNumberFormat="1" applyFont="1" applyFill="1" applyBorder="1" applyAlignment="1" applyProtection="1">
      <alignment horizontal="center"/>
    </xf>
    <xf numFmtId="1" fontId="8" fillId="0" borderId="76" xfId="16" applyNumberFormat="1" applyFont="1" applyFill="1" applyBorder="1" applyAlignment="1" applyProtection="1">
      <alignment horizontal="center"/>
    </xf>
    <xf numFmtId="1" fontId="8" fillId="0" borderId="120" xfId="16" applyNumberFormat="1" applyFont="1" applyFill="1" applyBorder="1" applyAlignment="1" applyProtection="1">
      <alignment horizontal="center"/>
      <protection locked="0"/>
    </xf>
    <xf numFmtId="1" fontId="8" fillId="0" borderId="76" xfId="16" applyNumberFormat="1" applyFont="1" applyFill="1" applyBorder="1" applyAlignment="1" applyProtection="1">
      <alignment horizontal="center"/>
      <protection locked="0"/>
    </xf>
    <xf numFmtId="0" fontId="12" fillId="0" borderId="121" xfId="16" applyNumberFormat="1" applyFont="1" applyBorder="1" applyAlignment="1" applyProtection="1">
      <alignment horizontal="centerContinuous" wrapText="1"/>
      <protection locked="0"/>
    </xf>
    <xf numFmtId="0" fontId="12" fillId="0" borderId="122" xfId="16" applyNumberFormat="1" applyFont="1" applyBorder="1" applyAlignment="1" applyProtection="1">
      <alignment horizontal="centerContinuous" wrapText="1"/>
      <protection locked="0"/>
    </xf>
    <xf numFmtId="0" fontId="8" fillId="0" borderId="123" xfId="16" applyFont="1" applyBorder="1" applyProtection="1">
      <protection locked="0"/>
    </xf>
    <xf numFmtId="1" fontId="2" fillId="0" borderId="123" xfId="16" applyNumberFormat="1" applyFont="1" applyFill="1" applyBorder="1" applyAlignment="1" applyProtection="1">
      <alignment horizontal="center"/>
    </xf>
    <xf numFmtId="0" fontId="7" fillId="0" borderId="4" xfId="16" applyNumberFormat="1" applyFont="1" applyBorder="1" applyAlignment="1" applyProtection="1">
      <alignment horizontal="left" vertical="center"/>
    </xf>
    <xf numFmtId="0" fontId="7" fillId="0" borderId="119" xfId="16" quotePrefix="1" applyNumberFormat="1" applyFont="1" applyFill="1" applyBorder="1" applyAlignment="1" applyProtection="1">
      <alignment horizontal="right"/>
      <protection locked="0"/>
    </xf>
    <xf numFmtId="0" fontId="2" fillId="0" borderId="19" xfId="0" applyFont="1" applyBorder="1"/>
    <xf numFmtId="0" fontId="2" fillId="0" borderId="20" xfId="0" applyFont="1" applyBorder="1"/>
    <xf numFmtId="2" fontId="2" fillId="0" borderId="20" xfId="0" applyNumberFormat="1" applyFont="1" applyBorder="1"/>
    <xf numFmtId="44" fontId="2" fillId="0" borderId="20" xfId="3" applyFont="1" applyBorder="1"/>
    <xf numFmtId="44" fontId="2" fillId="0" borderId="1" xfId="3" applyFont="1" applyBorder="1"/>
    <xf numFmtId="0" fontId="77" fillId="0" borderId="10" xfId="0" applyNumberFormat="1" applyFont="1" applyFill="1" applyBorder="1" applyAlignment="1" applyProtection="1">
      <alignment vertical="top"/>
    </xf>
    <xf numFmtId="0" fontId="77" fillId="0" borderId="10" xfId="0" applyFont="1" applyFill="1" applyBorder="1" applyAlignment="1" applyProtection="1">
      <alignment vertical="top" wrapText="1"/>
    </xf>
    <xf numFmtId="0" fontId="77" fillId="0" borderId="10" xfId="0" applyFont="1" applyFill="1" applyBorder="1" applyAlignment="1" applyProtection="1">
      <alignment horizontal="center" vertical="top" wrapText="1"/>
    </xf>
    <xf numFmtId="44" fontId="27" fillId="0" borderId="10" xfId="3" applyNumberFormat="1" applyFont="1" applyFill="1" applyBorder="1" applyAlignment="1" applyProtection="1">
      <alignment horizontal="right" vertical="top" wrapText="1"/>
    </xf>
    <xf numFmtId="0" fontId="27" fillId="0" borderId="10" xfId="0" applyFont="1" applyFill="1" applyBorder="1" applyAlignment="1" applyProtection="1">
      <alignment horizontal="center" vertical="top" wrapText="1"/>
    </xf>
    <xf numFmtId="0" fontId="78" fillId="0" borderId="0" xfId="0" applyFont="1" applyFill="1" applyBorder="1" applyAlignment="1" applyProtection="1">
      <alignment horizontal="center" vertical="top" wrapText="1"/>
      <protection locked="0"/>
    </xf>
    <xf numFmtId="0" fontId="78" fillId="0" borderId="0" xfId="0" applyNumberFormat="1" applyFont="1" applyFill="1" applyBorder="1" applyAlignment="1" applyProtection="1">
      <alignment vertical="top"/>
      <protection locked="0"/>
    </xf>
    <xf numFmtId="0" fontId="78" fillId="0" borderId="0" xfId="0" applyFont="1" applyFill="1" applyBorder="1" applyAlignment="1" applyProtection="1">
      <alignment horizontal="center" vertical="top"/>
      <protection locked="0"/>
    </xf>
    <xf numFmtId="0" fontId="19" fillId="0" borderId="0" xfId="0" applyFont="1" applyFill="1" applyAlignment="1" applyProtection="1">
      <alignment vertical="top"/>
      <protection locked="0"/>
    </xf>
    <xf numFmtId="44" fontId="19" fillId="0" borderId="0" xfId="3" applyNumberFormat="1" applyFont="1" applyFill="1" applyBorder="1" applyAlignment="1" applyProtection="1">
      <alignment horizontal="right" vertical="top" wrapText="1"/>
      <protection locked="0"/>
    </xf>
    <xf numFmtId="0" fontId="19" fillId="0" borderId="0" xfId="0" applyFont="1" applyFill="1" applyBorder="1" applyAlignment="1" applyProtection="1">
      <alignment horizontal="center" vertical="top"/>
      <protection locked="0"/>
    </xf>
    <xf numFmtId="44" fontId="19" fillId="0" borderId="0" xfId="0" applyNumberFormat="1" applyFont="1" applyFill="1" applyBorder="1" applyAlignment="1" applyProtection="1">
      <alignment horizontal="center" vertical="top"/>
      <protection locked="0"/>
    </xf>
    <xf numFmtId="169" fontId="7" fillId="0" borderId="23" xfId="17" applyNumberFormat="1" applyFont="1" applyBorder="1" applyAlignment="1" applyProtection="1">
      <alignment horizontal="left" vertical="top"/>
    </xf>
    <xf numFmtId="169" fontId="7" fillId="0" borderId="24" xfId="17" applyNumberFormat="1" applyFont="1" applyBorder="1" applyAlignment="1" applyProtection="1">
      <alignment horizontal="left" vertical="top"/>
    </xf>
    <xf numFmtId="49" fontId="2" fillId="2" borderId="14" xfId="23" applyNumberFormat="1" applyFont="1" applyFill="1" applyBorder="1" applyProtection="1"/>
    <xf numFmtId="0" fontId="2" fillId="0" borderId="1" xfId="0" applyFont="1" applyFill="1" applyBorder="1" applyProtection="1">
      <protection locked="0"/>
    </xf>
    <xf numFmtId="0" fontId="12" fillId="0" borderId="17" xfId="16" applyFont="1" applyFill="1" applyBorder="1" applyAlignment="1" applyProtection="1">
      <alignment horizontal="center" wrapText="1"/>
      <protection locked="0"/>
    </xf>
    <xf numFmtId="0" fontId="12" fillId="0" borderId="5" xfId="16" applyFont="1" applyFill="1" applyBorder="1" applyAlignment="1" applyProtection="1">
      <alignment horizontal="center" wrapText="1"/>
      <protection locked="0"/>
    </xf>
    <xf numFmtId="0" fontId="7" fillId="0" borderId="4" xfId="16" applyNumberFormat="1" applyFont="1" applyFill="1" applyBorder="1" applyAlignment="1" applyProtection="1">
      <alignment horizontal="left" vertical="center" wrapText="1"/>
      <protection locked="0"/>
    </xf>
    <xf numFmtId="0" fontId="7" fillId="0" borderId="75" xfId="16" applyNumberFormat="1" applyFont="1" applyFill="1" applyBorder="1" applyAlignment="1" applyProtection="1">
      <alignment horizontal="right"/>
      <protection locked="0"/>
    </xf>
    <xf numFmtId="0" fontId="8" fillId="0" borderId="10" xfId="16" applyFont="1" applyFill="1" applyBorder="1" applyProtection="1">
      <protection locked="0"/>
    </xf>
    <xf numFmtId="0" fontId="8" fillId="0" borderId="0" xfId="16" applyFont="1" applyFill="1" applyBorder="1" applyProtection="1">
      <protection locked="0"/>
    </xf>
    <xf numFmtId="1" fontId="8" fillId="0" borderId="10" xfId="16" applyNumberFormat="1" applyFont="1" applyFill="1" applyBorder="1" applyAlignment="1" applyProtection="1">
      <alignment horizontal="center" wrapText="1"/>
      <protection locked="0"/>
    </xf>
    <xf numFmtId="0" fontId="8" fillId="0" borderId="123" xfId="16" applyFont="1" applyFill="1" applyBorder="1" applyProtection="1">
      <protection locked="0"/>
    </xf>
    <xf numFmtId="0" fontId="0" fillId="10" borderId="118" xfId="16" applyFont="1" applyFill="1" applyBorder="1" applyAlignment="1" applyProtection="1">
      <alignment vertical="center" wrapText="1"/>
      <protection locked="0"/>
    </xf>
    <xf numFmtId="0" fontId="2" fillId="10" borderId="118" xfId="16" applyFont="1" applyFill="1" applyBorder="1" applyAlignment="1" applyProtection="1">
      <alignment vertical="center" wrapText="1"/>
      <protection locked="0"/>
    </xf>
    <xf numFmtId="44" fontId="60" fillId="0" borderId="86" xfId="0" applyNumberFormat="1" applyFont="1" applyFill="1" applyBorder="1" applyAlignment="1" applyProtection="1">
      <alignment horizontal="center" vertical="center"/>
    </xf>
    <xf numFmtId="173" fontId="60" fillId="3" borderId="34" xfId="22" applyNumberFormat="1" applyFont="1" applyFill="1" applyBorder="1" applyAlignment="1" applyProtection="1">
      <alignment horizontal="center" vertical="center"/>
    </xf>
    <xf numFmtId="173" fontId="68" fillId="0" borderId="32" xfId="17" applyNumberFormat="1" applyFont="1" applyBorder="1" applyAlignment="1" applyProtection="1">
      <alignment horizontal="center" vertical="center"/>
    </xf>
    <xf numFmtId="173" fontId="68" fillId="0" borderId="109" xfId="17" applyNumberFormat="1" applyFont="1" applyBorder="1" applyAlignment="1" applyProtection="1">
      <alignment horizontal="center" vertical="center"/>
    </xf>
    <xf numFmtId="173" fontId="7" fillId="0" borderId="124" xfId="22" applyNumberFormat="1" applyFont="1" applyFill="1" applyBorder="1" applyAlignment="1" applyProtection="1">
      <alignment horizontal="center" vertical="center"/>
    </xf>
    <xf numFmtId="173" fontId="7" fillId="0" borderId="95" xfId="22" applyNumberFormat="1" applyFont="1" applyFill="1" applyBorder="1" applyAlignment="1" applyProtection="1">
      <alignment horizontal="center" vertical="center"/>
    </xf>
    <xf numFmtId="173" fontId="7" fillId="0" borderId="6" xfId="22" applyNumberFormat="1" applyFont="1" applyFill="1" applyBorder="1" applyAlignment="1" applyProtection="1">
      <alignment horizontal="center" vertical="center"/>
    </xf>
    <xf numFmtId="173" fontId="7" fillId="0" borderId="86" xfId="22" applyNumberFormat="1" applyFont="1" applyFill="1" applyBorder="1" applyAlignment="1" applyProtection="1">
      <alignment horizontal="center" vertical="center"/>
    </xf>
    <xf numFmtId="2" fontId="7" fillId="0" borderId="25" xfId="22" applyNumberFormat="1" applyFont="1" applyFill="1" applyBorder="1" applyAlignment="1" applyProtection="1">
      <alignment horizontal="center" vertical="center"/>
    </xf>
    <xf numFmtId="7" fontId="7" fillId="0" borderId="27" xfId="17" applyNumberFormat="1" applyFont="1" applyBorder="1" applyAlignment="1" applyProtection="1">
      <alignment horizontal="center" vertical="top"/>
    </xf>
    <xf numFmtId="173" fontId="36" fillId="0" borderId="46" xfId="7" applyNumberFormat="1" applyFont="1" applyFill="1" applyBorder="1" applyAlignment="1" applyProtection="1">
      <alignment horizontal="center" vertical="center"/>
    </xf>
    <xf numFmtId="173" fontId="36" fillId="0" borderId="46" xfId="24" applyNumberFormat="1" applyFont="1" applyFill="1" applyBorder="1" applyAlignment="1" applyProtection="1">
      <alignment horizontal="center" vertical="center"/>
    </xf>
    <xf numFmtId="173" fontId="36" fillId="0" borderId="14" xfId="24" applyNumberFormat="1" applyFont="1" applyFill="1" applyBorder="1" applyAlignment="1" applyProtection="1">
      <alignment horizontal="center" vertical="center"/>
    </xf>
    <xf numFmtId="173" fontId="36" fillId="0" borderId="9" xfId="25" applyNumberFormat="1" applyFont="1" applyFill="1" applyBorder="1" applyAlignment="1" applyProtection="1">
      <alignment horizontal="center" vertical="center"/>
    </xf>
    <xf numFmtId="173" fontId="36" fillId="0" borderId="54" xfId="25" applyNumberFormat="1" applyFont="1" applyFill="1" applyBorder="1" applyAlignment="1" applyProtection="1">
      <alignment horizontal="center" vertical="center"/>
    </xf>
    <xf numFmtId="173" fontId="36" fillId="0" borderId="59" xfId="7" applyNumberFormat="1" applyFont="1" applyBorder="1" applyAlignment="1" applyProtection="1">
      <alignment horizontal="center" vertical="center"/>
    </xf>
    <xf numFmtId="173" fontId="43" fillId="4" borderId="63" xfId="24" applyNumberFormat="1" applyFont="1" applyFill="1" applyBorder="1" applyAlignment="1" applyProtection="1">
      <alignment vertical="center"/>
    </xf>
    <xf numFmtId="1" fontId="8" fillId="0" borderId="6" xfId="16" applyNumberFormat="1" applyFont="1" applyFill="1" applyBorder="1" applyAlignment="1" applyProtection="1">
      <alignment horizontal="center" vertical="center"/>
    </xf>
    <xf numFmtId="1" fontId="8" fillId="2" borderId="3" xfId="16" applyNumberFormat="1" applyFont="1" applyFill="1" applyBorder="1" applyAlignment="1" applyProtection="1">
      <alignment horizontal="center" vertical="center"/>
      <protection locked="0"/>
    </xf>
    <xf numFmtId="1" fontId="8" fillId="2" borderId="9" xfId="16" applyNumberFormat="1" applyFont="1" applyFill="1" applyBorder="1" applyAlignment="1" applyProtection="1">
      <alignment horizontal="center" vertical="center"/>
      <protection locked="0"/>
    </xf>
    <xf numFmtId="1" fontId="8" fillId="2" borderId="115" xfId="16" applyNumberFormat="1" applyFont="1" applyFill="1" applyBorder="1" applyAlignment="1" applyProtection="1">
      <alignment horizontal="center" vertical="center"/>
      <protection locked="0"/>
    </xf>
    <xf numFmtId="1" fontId="8" fillId="2" borderId="116" xfId="16" applyNumberFormat="1" applyFont="1" applyFill="1" applyBorder="1" applyAlignment="1" applyProtection="1">
      <alignment horizontal="center" vertical="center"/>
      <protection locked="0"/>
    </xf>
    <xf numFmtId="0" fontId="2" fillId="0" borderId="0" xfId="0" applyFont="1" applyAlignment="1">
      <alignment horizontal="center"/>
    </xf>
    <xf numFmtId="14" fontId="2" fillId="0" borderId="0" xfId="23" applyNumberFormat="1" applyFont="1"/>
    <xf numFmtId="14" fontId="2" fillId="0" borderId="0" xfId="0" applyNumberFormat="1" applyFont="1"/>
    <xf numFmtId="2" fontId="36" fillId="0" borderId="40" xfId="21" applyNumberFormat="1" applyFont="1" applyFill="1" applyBorder="1" applyAlignment="1" applyProtection="1">
      <alignment horizontal="left" wrapText="1"/>
    </xf>
    <xf numFmtId="1" fontId="8" fillId="2" borderId="8" xfId="16" applyNumberFormat="1" applyFont="1" applyFill="1" applyBorder="1" applyAlignment="1" applyProtection="1">
      <alignment horizontal="center" vertical="center"/>
      <protection locked="0"/>
    </xf>
    <xf numFmtId="0" fontId="36" fillId="2" borderId="46" xfId="25" applyFont="1" applyFill="1" applyBorder="1" applyAlignment="1" applyProtection="1">
      <alignment vertical="center"/>
      <protection locked="0"/>
    </xf>
    <xf numFmtId="49" fontId="2" fillId="0" borderId="104" xfId="21" applyNumberFormat="1" applyFont="1" applyFill="1" applyBorder="1" applyAlignment="1" applyProtection="1">
      <alignment vertical="center"/>
    </xf>
    <xf numFmtId="49" fontId="2" fillId="0" borderId="97" xfId="21" applyNumberFormat="1" applyFont="1" applyFill="1" applyBorder="1" applyAlignment="1" applyProtection="1">
      <alignment vertical="center"/>
    </xf>
    <xf numFmtId="49" fontId="2" fillId="0" borderId="0" xfId="21" applyNumberFormat="1" applyFont="1" applyFill="1" applyBorder="1" applyAlignment="1" applyProtection="1">
      <alignment vertical="center"/>
    </xf>
    <xf numFmtId="49" fontId="2" fillId="2" borderId="72" xfId="16" quotePrefix="1" applyNumberFormat="1" applyFont="1" applyFill="1" applyBorder="1" applyAlignment="1" applyProtection="1">
      <alignment horizontal="left" vertical="center"/>
      <protection locked="0"/>
    </xf>
    <xf numFmtId="49" fontId="2" fillId="2" borderId="72" xfId="16" quotePrefix="1" applyNumberFormat="1" applyFont="1" applyFill="1" applyBorder="1" applyAlignment="1" applyProtection="1">
      <alignment horizontal="left"/>
      <protection locked="0"/>
    </xf>
    <xf numFmtId="49" fontId="36" fillId="0" borderId="97" xfId="21" applyNumberFormat="1" applyFont="1" applyFill="1" applyBorder="1" applyAlignment="1" applyProtection="1">
      <alignment vertical="center"/>
    </xf>
    <xf numFmtId="49" fontId="55" fillId="0" borderId="97" xfId="0" applyNumberFormat="1" applyFont="1" applyBorder="1" applyAlignment="1">
      <alignment vertical="center"/>
    </xf>
    <xf numFmtId="49" fontId="2" fillId="0" borderId="40" xfId="21" applyNumberFormat="1" applyFont="1" applyFill="1" applyBorder="1" applyAlignment="1" applyProtection="1">
      <alignment vertical="center"/>
    </xf>
    <xf numFmtId="49" fontId="2" fillId="0" borderId="112" xfId="21" applyNumberFormat="1" applyFont="1" applyFill="1" applyBorder="1" applyAlignment="1" applyProtection="1">
      <alignment vertical="center"/>
    </xf>
    <xf numFmtId="49" fontId="2" fillId="0" borderId="125" xfId="21" applyNumberFormat="1" applyFont="1" applyFill="1" applyBorder="1" applyAlignment="1" applyProtection="1">
      <alignment vertical="center"/>
    </xf>
    <xf numFmtId="0" fontId="27" fillId="9" borderId="10" xfId="0" applyFont="1" applyFill="1" applyBorder="1" applyAlignment="1" applyProtection="1">
      <alignment horizontal="center" vertical="top" wrapText="1"/>
    </xf>
    <xf numFmtId="49" fontId="75" fillId="0" borderId="62" xfId="23" applyNumberFormat="1" applyFont="1" applyFill="1" applyBorder="1" applyAlignment="1" applyProtection="1">
      <alignment horizontal="left"/>
      <protection locked="0"/>
    </xf>
    <xf numFmtId="49" fontId="75" fillId="0" borderId="16" xfId="23" applyNumberFormat="1" applyFont="1" applyFill="1" applyBorder="1" applyAlignment="1" applyProtection="1">
      <alignment horizontal="left"/>
      <protection locked="0"/>
    </xf>
    <xf numFmtId="0" fontId="12" fillId="0" borderId="18" xfId="16" applyNumberFormat="1" applyFont="1" applyBorder="1" applyAlignment="1" applyProtection="1">
      <alignment horizontal="center" wrapText="1"/>
      <protection locked="0"/>
    </xf>
    <xf numFmtId="0" fontId="12" fillId="0" borderId="40" xfId="16" applyNumberFormat="1" applyFont="1" applyBorder="1" applyAlignment="1" applyProtection="1">
      <alignment horizontal="center" wrapText="1"/>
      <protection locked="0"/>
    </xf>
    <xf numFmtId="0" fontId="12" fillId="0" borderId="68" xfId="16" applyNumberFormat="1" applyFont="1" applyBorder="1" applyAlignment="1" applyProtection="1">
      <alignment horizontal="center" wrapText="1"/>
      <protection locked="0"/>
    </xf>
    <xf numFmtId="0" fontId="12" fillId="0" borderId="4" xfId="16" applyNumberFormat="1" applyFont="1" applyBorder="1" applyAlignment="1" applyProtection="1">
      <alignment horizontal="center" wrapText="1"/>
      <protection locked="0"/>
    </xf>
    <xf numFmtId="49" fontId="7" fillId="0" borderId="71" xfId="16" applyNumberFormat="1" applyFont="1" applyBorder="1" applyAlignment="1" applyProtection="1">
      <alignment horizontal="center"/>
      <protection locked="0"/>
    </xf>
    <xf numFmtId="0" fontId="7" fillId="0" borderId="10" xfId="16" applyNumberFormat="1" applyFont="1" applyBorder="1" applyAlignment="1" applyProtection="1">
      <alignment horizontal="center"/>
      <protection locked="0"/>
    </xf>
    <xf numFmtId="0" fontId="7" fillId="0" borderId="71" xfId="16" applyNumberFormat="1" applyFont="1" applyBorder="1" applyAlignment="1" applyProtection="1">
      <alignment horizontal="center"/>
      <protection locked="0"/>
    </xf>
    <xf numFmtId="0" fontId="7" fillId="0" borderId="68" xfId="16" applyNumberFormat="1" applyFont="1" applyBorder="1" applyAlignment="1" applyProtection="1">
      <alignment horizontal="center"/>
      <protection locked="0"/>
    </xf>
    <xf numFmtId="0" fontId="7" fillId="0" borderId="4" xfId="16" applyNumberFormat="1" applyFont="1" applyBorder="1" applyAlignment="1" applyProtection="1">
      <alignment horizontal="center"/>
      <protection locked="0"/>
    </xf>
    <xf numFmtId="7" fontId="68" fillId="0" borderId="71" xfId="17" applyNumberFormat="1" applyFont="1" applyBorder="1" applyAlignment="1" applyProtection="1">
      <alignment horizontal="center" vertical="center"/>
    </xf>
    <xf numFmtId="7" fontId="68" fillId="0" borderId="33" xfId="17" applyNumberFormat="1" applyFont="1" applyBorder="1" applyAlignment="1" applyProtection="1">
      <alignment horizontal="center" vertical="center"/>
    </xf>
    <xf numFmtId="0" fontId="43" fillId="4" borderId="56" xfId="25" applyFont="1" applyFill="1" applyBorder="1" applyAlignment="1" applyProtection="1">
      <alignment horizontal="center"/>
    </xf>
    <xf numFmtId="0" fontId="43" fillId="4" borderId="78" xfId="25" applyFont="1" applyFill="1" applyBorder="1" applyAlignment="1" applyProtection="1">
      <alignment horizontal="center"/>
    </xf>
    <xf numFmtId="0" fontId="43" fillId="4" borderId="79" xfId="25" applyFont="1" applyFill="1" applyBorder="1" applyAlignment="1" applyProtection="1">
      <alignment horizontal="center"/>
    </xf>
    <xf numFmtId="0" fontId="5" fillId="0" borderId="0" xfId="0" applyFont="1" applyBorder="1" applyAlignment="1">
      <alignment horizontal="center"/>
    </xf>
    <xf numFmtId="0" fontId="7" fillId="6" borderId="82" xfId="8" applyFont="1" applyFill="1" applyBorder="1" applyAlignment="1">
      <alignment horizontal="center" vertical="center"/>
    </xf>
    <xf numFmtId="0" fontId="7" fillId="6" borderId="11" xfId="8" applyFont="1" applyFill="1" applyBorder="1" applyAlignment="1">
      <alignment horizontal="center" vertical="center"/>
    </xf>
    <xf numFmtId="0" fontId="36" fillId="0" borderId="68" xfId="0" applyFont="1" applyFill="1" applyBorder="1" applyAlignment="1">
      <alignment horizontal="center" vertical="center"/>
    </xf>
    <xf numFmtId="0" fontId="36" fillId="0" borderId="4" xfId="0" applyFont="1" applyFill="1" applyBorder="1" applyAlignment="1">
      <alignment horizontal="center" vertical="center"/>
    </xf>
    <xf numFmtId="0" fontId="83" fillId="0" borderId="20" xfId="0" applyFont="1" applyBorder="1" applyAlignment="1">
      <alignment horizontal="left" vertical="center" wrapText="1"/>
    </xf>
    <xf numFmtId="0" fontId="7" fillId="7" borderId="82" xfId="8" applyFont="1" applyFill="1" applyBorder="1" applyAlignment="1">
      <alignment horizontal="center" vertical="center"/>
    </xf>
    <xf numFmtId="0" fontId="7" fillId="7" borderId="11" xfId="8" applyFont="1" applyFill="1" applyBorder="1" applyAlignment="1">
      <alignment horizontal="center" vertical="center"/>
    </xf>
    <xf numFmtId="0" fontId="7" fillId="7" borderId="9" xfId="8" applyFont="1" applyFill="1" applyBorder="1" applyAlignment="1">
      <alignment horizontal="center" vertical="center"/>
    </xf>
    <xf numFmtId="0" fontId="7" fillId="0" borderId="82" xfId="8" applyFont="1" applyFill="1" applyBorder="1" applyAlignment="1">
      <alignment horizontal="center" vertical="center"/>
    </xf>
    <xf numFmtId="0" fontId="7" fillId="0" borderId="11" xfId="8" applyFont="1" applyFill="1" applyBorder="1" applyAlignment="1">
      <alignment horizontal="center" vertical="center"/>
    </xf>
    <xf numFmtId="0" fontId="7" fillId="0" borderId="9" xfId="8" applyFont="1" applyFill="1" applyBorder="1" applyAlignment="1">
      <alignment horizontal="center" vertical="center"/>
    </xf>
    <xf numFmtId="44" fontId="26" fillId="0" borderId="93" xfId="3" applyFont="1" applyBorder="1" applyAlignment="1">
      <alignment horizontal="center" vertical="center"/>
    </xf>
    <xf numFmtId="44" fontId="26" fillId="0" borderId="78" xfId="3" applyFont="1" applyBorder="1" applyAlignment="1">
      <alignment horizontal="center" vertical="center"/>
    </xf>
    <xf numFmtId="44" fontId="26" fillId="0" borderId="94" xfId="3" applyFont="1" applyBorder="1" applyAlignment="1">
      <alignment horizontal="center" vertical="center"/>
    </xf>
  </cellXfs>
  <cellStyles count="38">
    <cellStyle name="Comma 2" xfId="1" xr:uid="{00000000-0005-0000-0000-000000000000}"/>
    <cellStyle name="Comma 3" xfId="2" xr:uid="{00000000-0005-0000-0000-000001000000}"/>
    <cellStyle name="Currency" xfId="3" builtinId="4"/>
    <cellStyle name="Currency 2" xfId="4" xr:uid="{00000000-0005-0000-0000-000003000000}"/>
    <cellStyle name="Currency 3" xfId="5" xr:uid="{00000000-0005-0000-0000-000004000000}"/>
    <cellStyle name="Currency 3 2" xfId="6" xr:uid="{00000000-0005-0000-0000-000005000000}"/>
    <cellStyle name="Currency 4" xfId="31" xr:uid="{00000000-0005-0000-0000-000006000000}"/>
    <cellStyle name="Currency_TRAVEL" xfId="7" xr:uid="{00000000-0005-0000-0000-000007000000}"/>
    <cellStyle name="Followed Hyperlink" xfId="33" builtinId="9" hidden="1"/>
    <cellStyle name="Followed Hyperlink" xfId="35" builtinId="9" hidden="1"/>
    <cellStyle name="Followed Hyperlink" xfId="37" builtinId="9" hidden="1"/>
    <cellStyle name="Hyperlink" xfId="32" builtinId="8" hidden="1"/>
    <cellStyle name="Hyperlink" xfId="34" builtinId="8" hidden="1"/>
    <cellStyle name="Hyperlink" xfId="36" builtinId="8" hidden="1"/>
    <cellStyle name="Normal" xfId="0" builtinId="0"/>
    <cellStyle name="Normal 2" xfId="8" xr:uid="{00000000-0005-0000-0000-00000F000000}"/>
    <cellStyle name="Normal 2 2" xfId="9" xr:uid="{00000000-0005-0000-0000-000010000000}"/>
    <cellStyle name="Normal 3" xfId="10" xr:uid="{00000000-0005-0000-0000-000011000000}"/>
    <cellStyle name="Normal 3 2" xfId="11" xr:uid="{00000000-0005-0000-0000-000012000000}"/>
    <cellStyle name="Normal 4" xfId="12" xr:uid="{00000000-0005-0000-0000-000013000000}"/>
    <cellStyle name="Normal 4 2" xfId="13" xr:uid="{00000000-0005-0000-0000-000014000000}"/>
    <cellStyle name="Normal 5" xfId="14" xr:uid="{00000000-0005-0000-0000-000015000000}"/>
    <cellStyle name="Normal 6" xfId="15" xr:uid="{00000000-0005-0000-0000-000016000000}"/>
    <cellStyle name="Normal 7" xfId="30" xr:uid="{00000000-0005-0000-0000-000017000000}"/>
    <cellStyle name="Normal_Cost" xfId="16" xr:uid="{00000000-0005-0000-0000-000018000000}"/>
    <cellStyle name="Normal_LABOR" xfId="17" xr:uid="{00000000-0005-0000-0000-000019000000}"/>
    <cellStyle name="Normal_Rates" xfId="18" xr:uid="{00000000-0005-0000-0000-00001A000000}"/>
    <cellStyle name="Normal_SHEET" xfId="19" xr:uid="{00000000-0005-0000-0000-00001B000000}"/>
    <cellStyle name="Normal_Sheet2" xfId="20" xr:uid="{00000000-0005-0000-0000-00001C000000}"/>
    <cellStyle name="Normal_Task 1 (3)" xfId="21" xr:uid="{00000000-0005-0000-0000-00001D000000}"/>
    <cellStyle name="Normal_Task 3.6" xfId="22" xr:uid="{00000000-0005-0000-0000-00001E000000}"/>
    <cellStyle name="Normal_Tasks" xfId="23" xr:uid="{00000000-0005-0000-0000-00001F000000}"/>
    <cellStyle name="Normal_TRAVEL_1" xfId="24" xr:uid="{00000000-0005-0000-0000-000020000000}"/>
    <cellStyle name="Normal_TRAVEL_Task 1 (3)" xfId="25" xr:uid="{00000000-0005-0000-0000-000021000000}"/>
    <cellStyle name="Normal_TRAVEL_Task 1 (3) 4" xfId="26" xr:uid="{00000000-0005-0000-0000-000022000000}"/>
    <cellStyle name="Percent" xfId="27" builtinId="5"/>
    <cellStyle name="Percent 2" xfId="28" xr:uid="{00000000-0005-0000-0000-000024000000}"/>
    <cellStyle name="Percent 3" xfId="29" xr:uid="{00000000-0005-0000-0000-000025000000}"/>
  </cellStyles>
  <dxfs count="4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18</xdr:row>
          <xdr:rowOff>25400</xdr:rowOff>
        </xdr:from>
        <xdr:to>
          <xdr:col>2</xdr:col>
          <xdr:colOff>254000</xdr:colOff>
          <xdr:row>19</xdr:row>
          <xdr:rowOff>101600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Update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20</xdr:row>
          <xdr:rowOff>50800</xdr:rowOff>
        </xdr:from>
        <xdr:to>
          <xdr:col>2</xdr:col>
          <xdr:colOff>254000</xdr:colOff>
          <xdr:row>21</xdr:row>
          <xdr:rowOff>139700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22</xdr:row>
          <xdr:rowOff>101600</xdr:rowOff>
        </xdr:from>
        <xdr:to>
          <xdr:col>2</xdr:col>
          <xdr:colOff>254000</xdr:colOff>
          <xdr:row>23</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622300</xdr:colOff>
          <xdr:row>20</xdr:row>
          <xdr:rowOff>63500</xdr:rowOff>
        </xdr:from>
        <xdr:to>
          <xdr:col>2</xdr:col>
          <xdr:colOff>2006600</xdr:colOff>
          <xdr:row>21</xdr:row>
          <xdr:rowOff>127000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22</xdr:row>
          <xdr:rowOff>76200</xdr:rowOff>
        </xdr:from>
        <xdr:to>
          <xdr:col>2</xdr:col>
          <xdr:colOff>1993900</xdr:colOff>
          <xdr:row>24</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Staff</a:t>
              </a:r>
            </a:p>
          </xdr:txBody>
        </xdr:sp>
        <xdr:clientData fPrintsWithSheet="0"/>
      </xdr:twoCellAnchor>
    </mc:Choice>
    <mc:Fallback/>
  </mc:AlternateContent>
  <xdr:twoCellAnchor editAs="oneCell">
    <xdr:from>
      <xdr:col>1</xdr:col>
      <xdr:colOff>103910</xdr:colOff>
      <xdr:row>0</xdr:row>
      <xdr:rowOff>46182</xdr:rowOff>
    </xdr:from>
    <xdr:to>
      <xdr:col>1</xdr:col>
      <xdr:colOff>1177637</xdr:colOff>
      <xdr:row>2</xdr:row>
      <xdr:rowOff>205444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910" y="46182"/>
          <a:ext cx="1073727" cy="6557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76200</xdr:rowOff>
    </xdr:from>
    <xdr:to>
      <xdr:col>0</xdr:col>
      <xdr:colOff>1164223</xdr:colOff>
      <xdr:row>2</xdr:row>
      <xdr:rowOff>199303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76200"/>
          <a:ext cx="1049923" cy="6184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63500</xdr:colOff>
      <xdr:row>0</xdr:row>
      <xdr:rowOff>101600</xdr:rowOff>
    </xdr:from>
    <xdr:to>
      <xdr:col>0</xdr:col>
      <xdr:colOff>1130331</xdr:colOff>
      <xdr:row>2</xdr:row>
      <xdr:rowOff>190500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101600"/>
          <a:ext cx="1066831" cy="584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88900</xdr:colOff>
      <xdr:row>0</xdr:row>
      <xdr:rowOff>101600</xdr:rowOff>
    </xdr:from>
    <xdr:to>
      <xdr:col>0</xdr:col>
      <xdr:colOff>1011659</xdr:colOff>
      <xdr:row>2</xdr:row>
      <xdr:rowOff>146541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00" y="101600"/>
          <a:ext cx="922759" cy="5529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187325</xdr:colOff>
      <xdr:row>0</xdr:row>
      <xdr:rowOff>92710</xdr:rowOff>
    </xdr:from>
    <xdr:to>
      <xdr:col>0</xdr:col>
      <xdr:colOff>1193800</xdr:colOff>
      <xdr:row>2</xdr:row>
      <xdr:rowOff>187816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7325" y="92710"/>
          <a:ext cx="1006475" cy="60310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545353</xdr:colOff>
      <xdr:row>1</xdr:row>
      <xdr:rowOff>121576</xdr:rowOff>
    </xdr:from>
    <xdr:to>
      <xdr:col>8</xdr:col>
      <xdr:colOff>698501</xdr:colOff>
      <xdr:row>4</xdr:row>
      <xdr:rowOff>110118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95653" y="286676"/>
          <a:ext cx="1334248" cy="7505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254000</xdr:colOff>
      <xdr:row>0</xdr:row>
      <xdr:rowOff>0</xdr:rowOff>
    </xdr:from>
    <xdr:to>
      <xdr:col>0</xdr:col>
      <xdr:colOff>1454082</xdr:colOff>
      <xdr:row>2</xdr:row>
      <xdr:rowOff>159163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000" y="0"/>
          <a:ext cx="1200082" cy="65446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304800</xdr:colOff>
      <xdr:row>0</xdr:row>
      <xdr:rowOff>76200</xdr:rowOff>
    </xdr:from>
    <xdr:to>
      <xdr:col>0</xdr:col>
      <xdr:colOff>1504882</xdr:colOff>
      <xdr:row>2</xdr:row>
      <xdr:rowOff>235363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76200"/>
          <a:ext cx="1200082" cy="6544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G20"/>
  <sheetViews>
    <sheetView zoomScale="110" zoomScaleNormal="110" zoomScaleSheetLayoutView="100" zoomScalePageLayoutView="189" workbookViewId="0">
      <selection activeCell="C9" sqref="C9"/>
    </sheetView>
  </sheetViews>
  <sheetFormatPr baseColWidth="10" defaultColWidth="8.83203125" defaultRowHeight="13"/>
  <cols>
    <col min="1" max="1" width="13.83203125" style="516" customWidth="1"/>
    <col min="2" max="2" width="17.1640625" style="516" customWidth="1"/>
    <col min="3" max="3" width="50.5" style="516" customWidth="1"/>
    <col min="4" max="4" width="8.83203125" style="516"/>
    <col min="5" max="5" width="2.6640625" style="516" bestFit="1" customWidth="1"/>
    <col min="6" max="16384" width="8.83203125" style="516"/>
  </cols>
  <sheetData>
    <row r="1" spans="1:7" ht="20">
      <c r="C1" s="359" t="s">
        <v>254</v>
      </c>
      <c r="D1" s="518"/>
    </row>
    <row r="2" spans="1:7" ht="19">
      <c r="C2" s="355" t="s">
        <v>255</v>
      </c>
      <c r="D2" s="518"/>
    </row>
    <row r="3" spans="1:7" ht="19">
      <c r="C3" s="358" t="s">
        <v>256</v>
      </c>
      <c r="D3" s="673" t="s">
        <v>0</v>
      </c>
      <c r="E3" s="672" t="s">
        <v>0</v>
      </c>
      <c r="F3" s="674" t="s">
        <v>0</v>
      </c>
    </row>
    <row r="4" spans="1:7" ht="19">
      <c r="B4" s="519"/>
      <c r="C4" s="517"/>
      <c r="D4" s="518"/>
    </row>
    <row r="5" spans="1:7" ht="14" thickBot="1">
      <c r="B5" s="520"/>
      <c r="C5" s="520"/>
      <c r="D5" s="518"/>
    </row>
    <row r="6" spans="1:7" ht="15" thickBot="1">
      <c r="B6" s="521" t="s">
        <v>101</v>
      </c>
      <c r="C6" s="522" t="s">
        <v>120</v>
      </c>
      <c r="D6" s="518"/>
    </row>
    <row r="7" spans="1:7">
      <c r="A7" s="523" t="str">
        <f t="shared" ref="A7:A15" si="0">B$6&amp;" "&amp;B7</f>
        <v>Subtask No. 1</v>
      </c>
      <c r="B7" s="524">
        <v>1</v>
      </c>
      <c r="C7" s="638" t="s">
        <v>251</v>
      </c>
      <c r="D7" s="518"/>
    </row>
    <row r="8" spans="1:7">
      <c r="A8" s="523" t="str">
        <f t="shared" si="0"/>
        <v>Subtask No. 2</v>
      </c>
      <c r="B8" s="525">
        <v>2</v>
      </c>
      <c r="C8" s="550" t="s">
        <v>258</v>
      </c>
      <c r="D8" s="518"/>
    </row>
    <row r="9" spans="1:7">
      <c r="A9" s="523" t="str">
        <f t="shared" si="0"/>
        <v>Subtask No. 3</v>
      </c>
      <c r="B9" s="525">
        <v>3</v>
      </c>
      <c r="C9" s="638" t="s">
        <v>349</v>
      </c>
      <c r="D9" s="518"/>
    </row>
    <row r="10" spans="1:7">
      <c r="A10" s="523" t="str">
        <f t="shared" si="0"/>
        <v>Subtask No. 4</v>
      </c>
      <c r="B10" s="525">
        <v>4</v>
      </c>
      <c r="C10" s="638" t="s">
        <v>257</v>
      </c>
      <c r="D10" s="518"/>
    </row>
    <row r="11" spans="1:7">
      <c r="A11" s="523" t="str">
        <f t="shared" si="0"/>
        <v>Subtask No. 5</v>
      </c>
      <c r="B11" s="525">
        <v>5</v>
      </c>
      <c r="C11" s="638" t="s">
        <v>257</v>
      </c>
      <c r="D11" s="518"/>
    </row>
    <row r="12" spans="1:7">
      <c r="A12" s="523" t="str">
        <f t="shared" si="0"/>
        <v>Subtask No. 6</v>
      </c>
      <c r="B12" s="525">
        <v>6</v>
      </c>
      <c r="C12" s="638" t="s">
        <v>257</v>
      </c>
      <c r="D12" s="518"/>
    </row>
    <row r="13" spans="1:7">
      <c r="A13" s="523" t="str">
        <f t="shared" si="0"/>
        <v>Subtask No. 7</v>
      </c>
      <c r="B13" s="525">
        <v>7</v>
      </c>
      <c r="C13" s="638" t="s">
        <v>257</v>
      </c>
      <c r="D13" s="518"/>
      <c r="G13" s="62"/>
    </row>
    <row r="14" spans="1:7">
      <c r="A14" s="523" t="str">
        <f t="shared" si="0"/>
        <v>Subtask No. 8</v>
      </c>
      <c r="B14" s="525">
        <v>8</v>
      </c>
      <c r="C14" s="638" t="s">
        <v>257</v>
      </c>
      <c r="D14" s="518"/>
    </row>
    <row r="15" spans="1:7" ht="14" thickBot="1">
      <c r="A15" s="523" t="str">
        <f t="shared" si="0"/>
        <v>Subtask No. 9</v>
      </c>
      <c r="B15" s="525">
        <v>9</v>
      </c>
      <c r="C15" s="638" t="s">
        <v>257</v>
      </c>
      <c r="D15" s="518"/>
    </row>
    <row r="16" spans="1:7" ht="14" thickBot="1">
      <c r="B16" s="689" t="s">
        <v>181</v>
      </c>
      <c r="C16" s="690"/>
    </row>
    <row r="17" spans="4:7">
      <c r="G17" s="560"/>
    </row>
    <row r="20" spans="4:7">
      <c r="D20" s="62"/>
    </row>
  </sheetData>
  <mergeCells count="1">
    <mergeCell ref="B16:C16"/>
  </mergeCells>
  <phoneticPr fontId="3" type="noConversion"/>
  <pageMargins left="0.75" right="0.75" top="1" bottom="1" header="0.5" footer="0.5"/>
  <pageSetup fitToHeight="0" orientation="landscape" r:id="rId1"/>
  <headerFooter alignWithMargins="0">
    <oddFooter>&amp;L&amp;Z
&amp;F&amp;RSheet 1 of 9
&amp;T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pdatelinks">
                <anchor moveWithCells="1" sizeWithCells="1">
                  <from>
                    <xdr:col>1</xdr:col>
                    <xdr:colOff>101600</xdr:colOff>
                    <xdr:row>18</xdr:row>
                    <xdr:rowOff>25400</xdr:rowOff>
                  </from>
                  <to>
                    <xdr:col>2</xdr:col>
                    <xdr:colOff>254000</xdr:colOff>
                    <xdr:row>19</xdr:row>
                    <xdr:rowOff>101600</xdr:rowOff>
                  </to>
                </anchor>
              </controlPr>
            </control>
          </mc:Choice>
        </mc:AlternateContent>
        <mc:AlternateContent xmlns:mc="http://schemas.openxmlformats.org/markup-compatibility/2006">
          <mc:Choice Requires="x14">
            <control shapeId="3074" r:id="rId5" name="Button 2">
              <controlPr defaultSize="0" print="0" autoFill="0" autoPict="0" macro="[0]!add_subtask">
                <anchor moveWithCells="1" sizeWithCells="1">
                  <from>
                    <xdr:col>1</xdr:col>
                    <xdr:colOff>88900</xdr:colOff>
                    <xdr:row>20</xdr:row>
                    <xdr:rowOff>50800</xdr:rowOff>
                  </from>
                  <to>
                    <xdr:col>2</xdr:col>
                    <xdr:colOff>254000</xdr:colOff>
                    <xdr:row>21</xdr:row>
                    <xdr:rowOff>139700</xdr:rowOff>
                  </to>
                </anchor>
              </controlPr>
            </control>
          </mc:Choice>
        </mc:AlternateContent>
        <mc:AlternateContent xmlns:mc="http://schemas.openxmlformats.org/markup-compatibility/2006">
          <mc:Choice Requires="x14">
            <control shapeId="3075" r:id="rId6" name="Button 3">
              <controlPr defaultSize="0" print="0" autoFill="0" autoPict="0" macro="[0]!add_Staff_column">
                <anchor moveWithCells="1" sizeWithCells="1">
                  <from>
                    <xdr:col>1</xdr:col>
                    <xdr:colOff>88900</xdr:colOff>
                    <xdr:row>22</xdr:row>
                    <xdr:rowOff>101600</xdr:rowOff>
                  </from>
                  <to>
                    <xdr:col>2</xdr:col>
                    <xdr:colOff>254000</xdr:colOff>
                    <xdr:row>23</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remove_subtask">
                <anchor moveWithCells="1" sizeWithCells="1">
                  <from>
                    <xdr:col>2</xdr:col>
                    <xdr:colOff>622300</xdr:colOff>
                    <xdr:row>20</xdr:row>
                    <xdr:rowOff>63500</xdr:rowOff>
                  </from>
                  <to>
                    <xdr:col>2</xdr:col>
                    <xdr:colOff>2006600</xdr:colOff>
                    <xdr:row>21</xdr:row>
                    <xdr:rowOff>127000</xdr:rowOff>
                  </to>
                </anchor>
              </controlPr>
            </control>
          </mc:Choice>
        </mc:AlternateContent>
        <mc:AlternateContent xmlns:mc="http://schemas.openxmlformats.org/markup-compatibility/2006">
          <mc:Choice Requires="x14">
            <control shapeId="3077" r:id="rId8" name="Button 5">
              <controlPr defaultSize="0" print="0" autoFill="0" autoPict="0" macro="[0]!remove_Staff_column">
                <anchor moveWithCells="1" sizeWithCells="1">
                  <from>
                    <xdr:col>2</xdr:col>
                    <xdr:colOff>596900</xdr:colOff>
                    <xdr:row>22</xdr:row>
                    <xdr:rowOff>76200</xdr:rowOff>
                  </from>
                  <to>
                    <xdr:col>2</xdr:col>
                    <xdr:colOff>1993900</xdr:colOff>
                    <xdr:row>24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2060"/>
    <pageSetUpPr fitToPage="1"/>
  </sheetPr>
  <dimension ref="A1:AM93"/>
  <sheetViews>
    <sheetView zoomScaleNormal="100" zoomScaleSheetLayoutView="96" zoomScalePageLayoutView="183" workbookViewId="0">
      <selection activeCell="J12" sqref="J12"/>
    </sheetView>
  </sheetViews>
  <sheetFormatPr baseColWidth="10" defaultColWidth="8.83203125" defaultRowHeight="13"/>
  <cols>
    <col min="1" max="1" width="15.83203125" style="330" customWidth="1"/>
    <col min="2" max="2" width="8.83203125" style="330"/>
    <col min="3" max="3" width="33" style="307" customWidth="1"/>
    <col min="4" max="4" width="34.6640625" style="307" customWidth="1"/>
    <col min="5" max="5" width="8.83203125" style="333"/>
    <col min="6" max="6" width="12.33203125" style="307" customWidth="1"/>
    <col min="7" max="7" width="11" style="307" customWidth="1"/>
    <col min="8" max="8" width="9.1640625" style="307" bestFit="1" customWidth="1"/>
    <col min="9" max="16" width="11" style="307" customWidth="1"/>
    <col min="17" max="16384" width="8.83203125" style="307"/>
  </cols>
  <sheetData>
    <row r="1" spans="1:39" ht="20">
      <c r="B1" s="554" t="str">
        <f>'Task Order Setup'!C1</f>
        <v>Task Order No. 1 Mod 0: General Consulting Services</v>
      </c>
      <c r="C1" s="335"/>
      <c r="D1" s="8"/>
      <c r="E1" s="1"/>
      <c r="F1" s="304"/>
      <c r="G1" s="304"/>
      <c r="H1" s="304"/>
      <c r="I1" s="304"/>
      <c r="J1" s="304"/>
      <c r="K1" s="304"/>
      <c r="L1" s="304"/>
      <c r="M1" s="304"/>
      <c r="N1" s="304"/>
      <c r="O1" s="304"/>
      <c r="P1" s="304"/>
      <c r="Q1" s="305"/>
      <c r="R1" s="305"/>
      <c r="S1" s="306"/>
      <c r="T1" s="306"/>
      <c r="U1" s="306"/>
      <c r="V1" s="306"/>
      <c r="W1" s="306"/>
      <c r="X1" s="306"/>
      <c r="Y1" s="306"/>
      <c r="Z1" s="306"/>
      <c r="AA1" s="306"/>
      <c r="AB1" s="306"/>
      <c r="AC1" s="306"/>
      <c r="AD1" s="306"/>
      <c r="AE1" s="306"/>
      <c r="AF1" s="306"/>
      <c r="AG1" s="306"/>
      <c r="AH1" s="306"/>
      <c r="AI1" s="306"/>
      <c r="AJ1" s="306"/>
      <c r="AK1" s="306"/>
      <c r="AL1" s="306"/>
      <c r="AM1" s="306"/>
    </row>
    <row r="2" spans="1:39" ht="19">
      <c r="B2" s="555" t="str">
        <f>'Task Order Setup'!C2</f>
        <v>Agreement No. 47557A, Project No. 600</v>
      </c>
      <c r="C2" s="8"/>
      <c r="D2" s="8"/>
      <c r="E2" s="1"/>
      <c r="F2" s="304"/>
      <c r="G2" s="304"/>
      <c r="H2" s="304"/>
      <c r="I2" s="304"/>
      <c r="J2" s="304"/>
      <c r="K2" s="304"/>
      <c r="L2" s="304"/>
      <c r="M2" s="304"/>
      <c r="N2" s="304"/>
      <c r="O2" s="304"/>
      <c r="P2" s="304"/>
      <c r="Q2" s="305"/>
      <c r="R2" s="305"/>
      <c r="S2" s="306"/>
      <c r="T2" s="306"/>
      <c r="U2" s="306"/>
      <c r="V2" s="306"/>
      <c r="W2" s="306"/>
      <c r="X2" s="306"/>
      <c r="Y2" s="306"/>
      <c r="Z2" s="306"/>
      <c r="AA2" s="306"/>
      <c r="AB2" s="306"/>
      <c r="AC2" s="306"/>
      <c r="AD2" s="306"/>
      <c r="AE2" s="306"/>
      <c r="AF2" s="306"/>
      <c r="AG2" s="306"/>
      <c r="AH2" s="306"/>
      <c r="AI2" s="306"/>
      <c r="AJ2" s="306"/>
      <c r="AK2" s="306"/>
      <c r="AL2" s="306"/>
      <c r="AM2" s="306"/>
    </row>
    <row r="3" spans="1:39" ht="19" customHeight="1">
      <c r="B3" s="553" t="str">
        <f>'Task Order Setup'!C3</f>
        <v>Effective Period: 10/01/19-10/31/19</v>
      </c>
      <c r="C3" s="334"/>
      <c r="D3" s="334"/>
      <c r="E3" s="1"/>
      <c r="F3" s="304"/>
      <c r="G3" s="304"/>
      <c r="H3" s="304"/>
      <c r="I3" s="304"/>
      <c r="J3" s="304"/>
      <c r="K3" s="304"/>
      <c r="L3" s="304"/>
      <c r="M3" s="304"/>
      <c r="N3" s="304"/>
      <c r="O3" s="304"/>
      <c r="P3" s="304"/>
      <c r="Q3" s="305"/>
      <c r="R3" s="305"/>
      <c r="S3" s="306"/>
      <c r="T3" s="306"/>
      <c r="U3" s="306"/>
      <c r="V3" s="306"/>
      <c r="W3" s="306"/>
      <c r="X3" s="306"/>
      <c r="Y3" s="306"/>
      <c r="Z3" s="306"/>
      <c r="AA3" s="306"/>
      <c r="AB3" s="306"/>
      <c r="AC3" s="306"/>
      <c r="AD3" s="306"/>
      <c r="AE3" s="306"/>
      <c r="AF3" s="306"/>
      <c r="AG3" s="306"/>
      <c r="AH3" s="306"/>
      <c r="AI3" s="306"/>
      <c r="AJ3" s="306"/>
      <c r="AK3" s="306"/>
      <c r="AL3" s="306"/>
      <c r="AM3" s="306"/>
    </row>
    <row r="4" spans="1:39" ht="18">
      <c r="A4" s="308"/>
      <c r="B4" s="42"/>
      <c r="C4" s="309"/>
      <c r="D4" s="309"/>
      <c r="E4" s="2"/>
      <c r="F4" s="311"/>
      <c r="G4" s="311"/>
      <c r="H4" s="311"/>
      <c r="I4" s="311"/>
      <c r="J4" s="311"/>
      <c r="K4" s="311"/>
      <c r="L4" s="311"/>
      <c r="M4" s="311"/>
      <c r="N4" s="311"/>
      <c r="O4" s="311"/>
      <c r="P4" s="311"/>
      <c r="Q4" s="312"/>
      <c r="R4" s="312"/>
      <c r="S4" s="312"/>
      <c r="T4" s="312"/>
      <c r="U4" s="312"/>
      <c r="V4" s="312"/>
      <c r="W4" s="312"/>
      <c r="X4" s="312"/>
      <c r="Y4" s="312"/>
      <c r="Z4" s="312"/>
      <c r="AA4" s="312"/>
      <c r="AB4" s="312"/>
      <c r="AC4" s="312"/>
      <c r="AD4" s="312"/>
      <c r="AE4" s="312"/>
      <c r="AF4" s="312"/>
      <c r="AG4" s="312"/>
      <c r="AH4" s="312"/>
      <c r="AI4" s="312"/>
      <c r="AJ4" s="312"/>
      <c r="AK4" s="312"/>
      <c r="AL4" s="312"/>
      <c r="AM4" s="312"/>
    </row>
    <row r="5" spans="1:39" ht="19">
      <c r="A5" s="364" t="s">
        <v>124</v>
      </c>
      <c r="B5" s="42"/>
      <c r="C5" s="309"/>
      <c r="D5" s="309"/>
      <c r="E5" s="2"/>
      <c r="F5" s="311"/>
      <c r="G5" s="311"/>
      <c r="H5" s="311"/>
      <c r="I5" s="311"/>
      <c r="J5" s="311"/>
      <c r="K5" s="311"/>
      <c r="L5" s="311"/>
      <c r="M5" s="311"/>
      <c r="N5" s="311"/>
      <c r="O5" s="311"/>
      <c r="P5" s="311"/>
      <c r="Q5" s="312"/>
      <c r="R5" s="312"/>
      <c r="S5" s="312"/>
      <c r="T5" s="312"/>
      <c r="U5" s="312"/>
      <c r="V5" s="312"/>
      <c r="W5" s="312"/>
      <c r="X5" s="312"/>
      <c r="Y5" s="312"/>
      <c r="Z5" s="312"/>
      <c r="AA5" s="312"/>
      <c r="AB5" s="312"/>
      <c r="AC5" s="312"/>
      <c r="AD5" s="312"/>
      <c r="AE5" s="312"/>
      <c r="AF5" s="312"/>
      <c r="AG5" s="312"/>
      <c r="AH5" s="312"/>
      <c r="AI5" s="312"/>
      <c r="AJ5" s="312"/>
      <c r="AK5" s="312"/>
      <c r="AL5" s="312"/>
      <c r="AM5" s="312"/>
    </row>
    <row r="6" spans="1:39" ht="19" thickBot="1">
      <c r="A6" s="308"/>
      <c r="B6" s="42"/>
      <c r="C6" s="309"/>
      <c r="D6" s="309"/>
      <c r="E6" s="2"/>
      <c r="F6" s="311"/>
      <c r="G6" s="311"/>
      <c r="H6" s="311"/>
      <c r="I6" s="311"/>
      <c r="J6" s="311"/>
      <c r="K6" s="311"/>
      <c r="L6" s="311"/>
      <c r="M6" s="311"/>
      <c r="N6" s="311"/>
      <c r="O6" s="311"/>
      <c r="P6" s="311"/>
      <c r="Q6" s="312"/>
      <c r="R6" s="312"/>
      <c r="S6" s="312"/>
      <c r="T6" s="312"/>
      <c r="U6" s="312"/>
      <c r="V6" s="312"/>
      <c r="W6" s="312"/>
      <c r="X6" s="312"/>
      <c r="Y6" s="312"/>
      <c r="Z6" s="312"/>
      <c r="AA6" s="312"/>
      <c r="AB6" s="312"/>
      <c r="AC6" s="312"/>
      <c r="AD6" s="312"/>
      <c r="AE6" s="312"/>
      <c r="AF6" s="312"/>
      <c r="AG6" s="312"/>
      <c r="AH6" s="312"/>
      <c r="AI6" s="312"/>
      <c r="AJ6" s="312"/>
      <c r="AK6" s="312"/>
      <c r="AL6" s="312"/>
      <c r="AM6" s="312"/>
    </row>
    <row r="7" spans="1:39" ht="29" thickTop="1">
      <c r="A7" s="561" t="s">
        <v>0</v>
      </c>
      <c r="B7" s="562"/>
      <c r="C7" s="563"/>
      <c r="D7" s="639"/>
      <c r="E7" s="564"/>
      <c r="F7" s="571" t="s">
        <v>235</v>
      </c>
      <c r="G7" s="571" t="s">
        <v>239</v>
      </c>
      <c r="H7" s="571" t="s">
        <v>245</v>
      </c>
      <c r="I7" s="571" t="s">
        <v>81</v>
      </c>
      <c r="J7" s="571" t="s">
        <v>81</v>
      </c>
      <c r="K7" s="571" t="s">
        <v>79</v>
      </c>
      <c r="L7" s="571" t="s">
        <v>79</v>
      </c>
      <c r="M7" s="571" t="s">
        <v>79</v>
      </c>
      <c r="N7" s="571" t="s">
        <v>79</v>
      </c>
      <c r="O7" s="571" t="s">
        <v>79</v>
      </c>
      <c r="P7" s="572" t="s">
        <v>79</v>
      </c>
      <c r="Q7" s="313"/>
      <c r="R7" s="313"/>
      <c r="S7" s="313"/>
      <c r="T7" s="313"/>
      <c r="U7" s="313"/>
      <c r="V7" s="313"/>
      <c r="W7" s="313"/>
      <c r="X7" s="313"/>
      <c r="Y7" s="313"/>
      <c r="Z7" s="313"/>
      <c r="AA7" s="313"/>
      <c r="AB7" s="313"/>
      <c r="AC7" s="313"/>
      <c r="AD7" s="313"/>
      <c r="AE7" s="313"/>
      <c r="AF7" s="313"/>
      <c r="AG7" s="313"/>
      <c r="AH7" s="313"/>
      <c r="AI7" s="313"/>
      <c r="AJ7" s="313"/>
      <c r="AK7" s="313"/>
      <c r="AL7" s="313"/>
      <c r="AM7" s="313"/>
    </row>
    <row r="8" spans="1:39" s="372" customFormat="1" ht="27" customHeight="1">
      <c r="A8" s="691" t="s">
        <v>102</v>
      </c>
      <c r="B8" s="692"/>
      <c r="C8" s="370" t="s">
        <v>0</v>
      </c>
      <c r="D8" s="640" t="s">
        <v>182</v>
      </c>
      <c r="E8" s="368"/>
      <c r="F8" s="573" t="s">
        <v>189</v>
      </c>
      <c r="G8" s="573" t="s">
        <v>141</v>
      </c>
      <c r="H8" s="573" t="s">
        <v>129</v>
      </c>
      <c r="I8" s="573" t="s">
        <v>177</v>
      </c>
      <c r="J8" s="573" t="s">
        <v>145</v>
      </c>
      <c r="K8" s="573" t="s">
        <v>80</v>
      </c>
      <c r="L8" s="573" t="s">
        <v>80</v>
      </c>
      <c r="M8" s="573" t="s">
        <v>80</v>
      </c>
      <c r="N8" s="573" t="s">
        <v>80</v>
      </c>
      <c r="O8" s="573" t="s">
        <v>80</v>
      </c>
      <c r="P8" s="574" t="s">
        <v>80</v>
      </c>
      <c r="Q8" s="371"/>
      <c r="R8" s="371"/>
      <c r="S8" s="371"/>
      <c r="T8" s="371"/>
      <c r="U8" s="371"/>
      <c r="V8" s="371"/>
      <c r="W8" s="371"/>
      <c r="X8" s="371"/>
      <c r="Y8" s="371"/>
      <c r="Z8" s="371"/>
      <c r="AA8" s="371"/>
      <c r="AB8" s="371"/>
      <c r="AC8" s="371"/>
      <c r="AD8" s="371"/>
      <c r="AE8" s="371"/>
      <c r="AF8" s="371"/>
      <c r="AG8" s="371"/>
      <c r="AH8" s="371"/>
      <c r="AI8" s="371"/>
      <c r="AJ8" s="371"/>
      <c r="AK8" s="371"/>
      <c r="AL8" s="371"/>
      <c r="AM8" s="371"/>
    </row>
    <row r="9" spans="1:39" ht="15" thickBot="1">
      <c r="A9" s="693" t="s">
        <v>66</v>
      </c>
      <c r="B9" s="694"/>
      <c r="C9" s="314" t="s">
        <v>103</v>
      </c>
      <c r="D9" s="641" t="s">
        <v>183</v>
      </c>
      <c r="E9" s="369" t="s">
        <v>75</v>
      </c>
      <c r="F9" s="575">
        <f>IFERROR(VLOOKUP(F$8,Rates!$A:$D,4,FALSE),"")</f>
        <v>280</v>
      </c>
      <c r="G9" s="575" t="str">
        <f>IFERROR(VLOOKUP(G$8,Rates!$A:$D,4,FALSE),"")</f>
        <v/>
      </c>
      <c r="H9" s="575" t="str">
        <f>IFERROR(VLOOKUP(H$8,Rates!$A:$D,4,FALSE),"")</f>
        <v/>
      </c>
      <c r="I9" s="575">
        <f>IFERROR(VLOOKUP(I$8,Rates!$A:$D,4,FALSE),"")</f>
        <v>235</v>
      </c>
      <c r="J9" s="575">
        <f>IFERROR(VLOOKUP(J$8,Rates!$A:$D,4,FALSE),"")</f>
        <v>174</v>
      </c>
      <c r="K9" s="575" t="str">
        <f>IFERROR(VLOOKUP(K$8,Rates!$A:$D,4,FALSE),"")</f>
        <v xml:space="preserve"> </v>
      </c>
      <c r="L9" s="575" t="str">
        <f>IFERROR(VLOOKUP(L$8,Rates!$A:$D,4,FALSE),"")</f>
        <v xml:space="preserve"> </v>
      </c>
      <c r="M9" s="575" t="str">
        <f>IFERROR(VLOOKUP(M$8,Rates!$A:$D,4,FALSE),"")</f>
        <v xml:space="preserve"> </v>
      </c>
      <c r="N9" s="575" t="str">
        <f>IFERROR(VLOOKUP(N$8,Rates!$A:$D,4,FALSE),"")</f>
        <v xml:space="preserve"> </v>
      </c>
      <c r="O9" s="575" t="str">
        <f>IFERROR(VLOOKUP(O$8,Rates!$A:$D,4,FALSE),"")</f>
        <v xml:space="preserve"> </v>
      </c>
      <c r="P9" s="576" t="str">
        <f>IFERROR(VLOOKUP(P$8,Rates!$A:$D,4,FALSE),"")</f>
        <v xml:space="preserve"> </v>
      </c>
      <c r="Q9" s="315"/>
      <c r="R9" s="315"/>
      <c r="S9" s="315"/>
      <c r="T9" s="315"/>
      <c r="U9" s="315"/>
      <c r="V9" s="315"/>
      <c r="W9" s="315"/>
      <c r="X9" s="315"/>
      <c r="Y9" s="315"/>
      <c r="Z9" s="315"/>
      <c r="AA9" s="315"/>
      <c r="AB9" s="315"/>
      <c r="AC9" s="315"/>
      <c r="AD9" s="315"/>
      <c r="AE9" s="315"/>
      <c r="AF9" s="316"/>
      <c r="AG9" s="316"/>
      <c r="AH9" s="316"/>
      <c r="AI9" s="316"/>
      <c r="AJ9" s="316"/>
      <c r="AK9" s="316"/>
      <c r="AL9" s="316"/>
      <c r="AM9" s="316"/>
    </row>
    <row r="10" spans="1:39" ht="16" thickTop="1" thickBot="1">
      <c r="A10" s="695">
        <v>1</v>
      </c>
      <c r="B10" s="696"/>
      <c r="C10" s="317" t="str">
        <f>VLOOKUP($C17,'Task Order Setup'!$A$1:$C$23,3, FALSE)</f>
        <v>Consulting Services</v>
      </c>
      <c r="D10" s="642"/>
      <c r="E10" s="171"/>
      <c r="F10" s="318"/>
      <c r="G10" s="318"/>
      <c r="H10" s="318"/>
      <c r="I10" s="318"/>
      <c r="J10" s="318"/>
      <c r="K10" s="318"/>
      <c r="L10" s="318"/>
      <c r="M10" s="318"/>
      <c r="N10" s="318"/>
      <c r="O10" s="318"/>
      <c r="P10" s="565"/>
      <c r="Q10" s="319"/>
      <c r="R10" s="319"/>
      <c r="S10" s="319"/>
      <c r="T10" s="319"/>
      <c r="U10" s="319"/>
      <c r="V10" s="319"/>
      <c r="W10" s="319"/>
      <c r="X10" s="319"/>
      <c r="Y10" s="319"/>
      <c r="Z10" s="319"/>
      <c r="AA10" s="319"/>
      <c r="AB10" s="319"/>
      <c r="AC10" s="319"/>
      <c r="AD10" s="319"/>
      <c r="AE10" s="319"/>
      <c r="AF10" s="319"/>
      <c r="AG10" s="319"/>
      <c r="AH10" s="319"/>
      <c r="AI10" s="319"/>
      <c r="AJ10" s="319"/>
      <c r="AK10" s="319"/>
      <c r="AL10" s="319"/>
      <c r="AM10" s="319"/>
    </row>
    <row r="11" spans="1:39" ht="15" thickTop="1">
      <c r="A11" s="46" t="s">
        <v>0</v>
      </c>
      <c r="B11" s="681">
        <v>1.1000000000000001</v>
      </c>
      <c r="C11" s="582" t="s">
        <v>247</v>
      </c>
      <c r="D11" s="649"/>
      <c r="E11" s="667">
        <f t="shared" ref="E11:E16" si="0">SUM(F11:P11)</f>
        <v>320</v>
      </c>
      <c r="F11" s="668">
        <v>100</v>
      </c>
      <c r="G11" s="668">
        <v>100</v>
      </c>
      <c r="H11" s="668">
        <v>100</v>
      </c>
      <c r="I11" s="668">
        <v>10</v>
      </c>
      <c r="J11" s="668">
        <v>10</v>
      </c>
      <c r="K11" s="668"/>
      <c r="L11" s="669"/>
      <c r="M11" s="668"/>
      <c r="N11" s="668"/>
      <c r="O11" s="668"/>
      <c r="P11" s="670"/>
      <c r="Q11" s="312"/>
      <c r="R11" s="312"/>
      <c r="S11" s="312"/>
      <c r="T11" s="312"/>
      <c r="U11" s="312"/>
      <c r="V11" s="312"/>
      <c r="W11" s="312"/>
      <c r="X11" s="312"/>
      <c r="Y11" s="312"/>
      <c r="Z11" s="312"/>
      <c r="AA11" s="312"/>
      <c r="AB11" s="312"/>
      <c r="AC11" s="312"/>
      <c r="AD11" s="312"/>
      <c r="AE11" s="312"/>
      <c r="AF11" s="312"/>
      <c r="AG11" s="312"/>
      <c r="AH11" s="312"/>
      <c r="AI11" s="312"/>
      <c r="AJ11" s="312"/>
      <c r="AK11" s="312"/>
      <c r="AL11" s="312"/>
      <c r="AM11" s="312"/>
    </row>
    <row r="12" spans="1:39" ht="28">
      <c r="A12" s="173"/>
      <c r="B12" s="681">
        <v>1.2</v>
      </c>
      <c r="C12" s="582" t="s">
        <v>250</v>
      </c>
      <c r="D12" s="649" t="s">
        <v>252</v>
      </c>
      <c r="E12" s="667">
        <f t="shared" si="0"/>
        <v>2</v>
      </c>
      <c r="F12" s="669"/>
      <c r="G12" s="669"/>
      <c r="H12" s="669"/>
      <c r="I12" s="669">
        <v>2</v>
      </c>
      <c r="J12" s="669"/>
      <c r="K12" s="669"/>
      <c r="L12" s="669"/>
      <c r="M12" s="669"/>
      <c r="N12" s="669"/>
      <c r="O12" s="669"/>
      <c r="P12" s="671"/>
      <c r="Q12" s="312"/>
      <c r="R12" s="312"/>
      <c r="S12" s="312"/>
      <c r="T12" s="312"/>
      <c r="U12" s="312"/>
      <c r="V12" s="312"/>
      <c r="W12" s="312"/>
      <c r="X12" s="312"/>
      <c r="Y12" s="312"/>
      <c r="Z12" s="312"/>
      <c r="AA12" s="312"/>
      <c r="AB12" s="312"/>
      <c r="AC12" s="312"/>
      <c r="AD12" s="312"/>
      <c r="AE12" s="312"/>
      <c r="AF12" s="312"/>
      <c r="AG12" s="312"/>
      <c r="AH12" s="312"/>
      <c r="AI12" s="312"/>
      <c r="AJ12" s="312"/>
      <c r="AK12" s="312"/>
      <c r="AL12" s="312"/>
      <c r="AM12" s="312"/>
    </row>
    <row r="13" spans="1:39">
      <c r="A13" s="173"/>
      <c r="B13" s="681">
        <v>1.3</v>
      </c>
      <c r="C13" s="577"/>
      <c r="D13" s="648"/>
      <c r="E13" s="667">
        <f t="shared" si="0"/>
        <v>0</v>
      </c>
      <c r="F13" s="669"/>
      <c r="G13" s="669"/>
      <c r="H13" s="669"/>
      <c r="I13" s="669"/>
      <c r="J13" s="669"/>
      <c r="K13" s="669"/>
      <c r="L13" s="669"/>
      <c r="M13" s="669"/>
      <c r="N13" s="669"/>
      <c r="O13" s="669"/>
      <c r="P13" s="671"/>
      <c r="Q13" s="312"/>
      <c r="R13" s="312"/>
      <c r="S13" s="312"/>
      <c r="T13" s="312"/>
      <c r="U13" s="312"/>
      <c r="V13" s="312"/>
      <c r="W13" s="312"/>
      <c r="X13" s="312"/>
      <c r="Y13" s="312"/>
      <c r="Z13" s="312"/>
      <c r="AA13" s="312"/>
      <c r="AB13" s="312"/>
      <c r="AC13" s="312"/>
      <c r="AD13" s="312"/>
      <c r="AE13" s="312"/>
      <c r="AF13" s="312"/>
      <c r="AG13" s="312"/>
      <c r="AH13" s="312"/>
      <c r="AI13" s="312"/>
      <c r="AJ13" s="312"/>
      <c r="AK13" s="312"/>
      <c r="AL13" s="312"/>
      <c r="AM13" s="312"/>
    </row>
    <row r="14" spans="1:39">
      <c r="A14" s="173"/>
      <c r="B14" s="681">
        <v>1.4</v>
      </c>
      <c r="C14" s="578"/>
      <c r="D14" s="648"/>
      <c r="E14" s="667">
        <f t="shared" si="0"/>
        <v>0</v>
      </c>
      <c r="F14" s="669"/>
      <c r="G14" s="669"/>
      <c r="H14" s="669"/>
      <c r="I14" s="669"/>
      <c r="J14" s="669"/>
      <c r="K14" s="669"/>
      <c r="L14" s="669"/>
      <c r="M14" s="669"/>
      <c r="N14" s="669"/>
      <c r="O14" s="669"/>
      <c r="P14" s="671"/>
      <c r="Q14" s="312"/>
      <c r="R14" s="312"/>
      <c r="S14" s="312"/>
      <c r="T14" s="312"/>
      <c r="U14" s="312"/>
      <c r="V14" s="312"/>
      <c r="W14" s="312"/>
      <c r="X14" s="312"/>
      <c r="Y14" s="312"/>
      <c r="Z14" s="312"/>
      <c r="AA14" s="312"/>
      <c r="AB14" s="312"/>
      <c r="AC14" s="312"/>
      <c r="AD14" s="312"/>
      <c r="AE14" s="312"/>
      <c r="AF14" s="312"/>
      <c r="AG14" s="312"/>
      <c r="AH14" s="312"/>
      <c r="AI14" s="312"/>
      <c r="AJ14" s="312"/>
      <c r="AK14" s="312"/>
      <c r="AL14" s="312"/>
      <c r="AM14" s="312"/>
    </row>
    <row r="15" spans="1:39" ht="14">
      <c r="A15" s="173"/>
      <c r="B15" s="681">
        <v>1.5</v>
      </c>
      <c r="C15" s="578" t="s">
        <v>0</v>
      </c>
      <c r="D15" s="648"/>
      <c r="E15" s="667">
        <f t="shared" si="0"/>
        <v>0</v>
      </c>
      <c r="F15" s="669"/>
      <c r="G15" s="669"/>
      <c r="H15" s="669"/>
      <c r="I15" s="669"/>
      <c r="J15" s="669"/>
      <c r="K15" s="669"/>
      <c r="L15" s="669"/>
      <c r="M15" s="669"/>
      <c r="N15" s="669"/>
      <c r="O15" s="669"/>
      <c r="P15" s="671"/>
      <c r="Q15" s="312"/>
      <c r="R15" s="312"/>
      <c r="S15" s="312"/>
      <c r="T15" s="312"/>
      <c r="U15" s="312"/>
      <c r="V15" s="312"/>
      <c r="W15" s="312"/>
      <c r="X15" s="312"/>
      <c r="Y15" s="312"/>
      <c r="Z15" s="312"/>
      <c r="AA15" s="312"/>
      <c r="AB15" s="312"/>
      <c r="AC15" s="312"/>
      <c r="AD15" s="312"/>
      <c r="AE15" s="312"/>
      <c r="AF15" s="312"/>
      <c r="AG15" s="312"/>
      <c r="AH15" s="312"/>
      <c r="AI15" s="312"/>
      <c r="AJ15" s="312"/>
      <c r="AK15" s="312"/>
      <c r="AL15" s="312"/>
      <c r="AM15" s="312"/>
    </row>
    <row r="16" spans="1:39">
      <c r="A16" s="173"/>
      <c r="B16" s="681">
        <v>1.6</v>
      </c>
      <c r="C16" s="579"/>
      <c r="D16" s="649"/>
      <c r="E16" s="667">
        <f t="shared" si="0"/>
        <v>0</v>
      </c>
      <c r="F16" s="669"/>
      <c r="G16" s="669"/>
      <c r="H16" s="669"/>
      <c r="I16" s="669"/>
      <c r="J16" s="669"/>
      <c r="K16" s="669"/>
      <c r="L16" s="669"/>
      <c r="M16" s="669"/>
      <c r="N16" s="669"/>
      <c r="O16" s="669"/>
      <c r="P16" s="671"/>
      <c r="Q16" s="312"/>
      <c r="R16" s="312"/>
      <c r="S16" s="312"/>
      <c r="T16" s="312"/>
      <c r="U16" s="312"/>
      <c r="V16" s="312"/>
      <c r="W16" s="312"/>
      <c r="X16" s="312"/>
      <c r="Y16" s="312"/>
      <c r="Z16" s="312"/>
      <c r="AA16" s="312"/>
      <c r="AB16" s="312"/>
      <c r="AC16" s="312"/>
      <c r="AD16" s="312"/>
      <c r="AE16" s="312"/>
      <c r="AF16" s="312"/>
      <c r="AG16" s="312"/>
      <c r="AH16" s="312"/>
      <c r="AI16" s="312"/>
      <c r="AJ16" s="312"/>
      <c r="AK16" s="312"/>
      <c r="AL16" s="312"/>
      <c r="AM16" s="312"/>
    </row>
    <row r="17" spans="1:39" ht="14" thickBot="1">
      <c r="A17" s="320" t="s">
        <v>1</v>
      </c>
      <c r="B17" s="608"/>
      <c r="C17" s="606" t="str">
        <f>"Subtask No. "&amp;A10</f>
        <v>Subtask No. 1</v>
      </c>
      <c r="D17" s="643"/>
      <c r="E17" s="5">
        <f t="shared" ref="E17:P17" si="1">SUM(E11:E16)</f>
        <v>322</v>
      </c>
      <c r="F17" s="556">
        <f t="shared" si="1"/>
        <v>100</v>
      </c>
      <c r="G17" s="610">
        <f t="shared" si="1"/>
        <v>100</v>
      </c>
      <c r="H17" s="610">
        <f t="shared" si="1"/>
        <v>100</v>
      </c>
      <c r="I17" s="610">
        <f t="shared" si="1"/>
        <v>12</v>
      </c>
      <c r="J17" s="610">
        <f t="shared" si="1"/>
        <v>10</v>
      </c>
      <c r="K17" s="610">
        <f t="shared" si="1"/>
        <v>0</v>
      </c>
      <c r="L17" s="610">
        <f t="shared" si="1"/>
        <v>0</v>
      </c>
      <c r="M17" s="610">
        <f t="shared" si="1"/>
        <v>0</v>
      </c>
      <c r="N17" s="610">
        <f t="shared" si="1"/>
        <v>0</v>
      </c>
      <c r="O17" s="610">
        <f t="shared" si="1"/>
        <v>0</v>
      </c>
      <c r="P17" s="609">
        <f t="shared" si="1"/>
        <v>0</v>
      </c>
      <c r="Q17" s="321"/>
      <c r="R17" s="321"/>
      <c r="S17" s="321"/>
      <c r="T17" s="321"/>
      <c r="U17" s="321"/>
      <c r="V17" s="321"/>
      <c r="W17" s="321"/>
      <c r="X17" s="322"/>
      <c r="Y17" s="322"/>
      <c r="Z17" s="322"/>
      <c r="AA17" s="322"/>
      <c r="AB17" s="322"/>
      <c r="AC17" s="322"/>
      <c r="AD17" s="322"/>
      <c r="AE17" s="322"/>
      <c r="AF17" s="322"/>
      <c r="AG17" s="322"/>
      <c r="AH17" s="322"/>
      <c r="AI17" s="322"/>
      <c r="AJ17" s="322"/>
      <c r="AK17" s="322"/>
      <c r="AL17" s="322"/>
      <c r="AM17" s="322"/>
    </row>
    <row r="18" spans="1:39" ht="15" thickTop="1" thickBot="1">
      <c r="A18" s="323"/>
      <c r="B18" s="44"/>
      <c r="C18" s="324"/>
      <c r="D18" s="644"/>
      <c r="E18" s="2"/>
      <c r="F18" s="310"/>
      <c r="G18" s="310"/>
      <c r="H18" s="310"/>
      <c r="I18" s="310"/>
      <c r="J18" s="310"/>
      <c r="K18" s="310"/>
      <c r="L18" s="310"/>
      <c r="M18" s="310"/>
      <c r="N18" s="310"/>
      <c r="O18" s="310"/>
      <c r="P18" s="569"/>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row>
    <row r="19" spans="1:39" ht="16" thickTop="1" thickBot="1">
      <c r="A19" s="697">
        <v>2</v>
      </c>
      <c r="B19" s="696"/>
      <c r="C19" s="317" t="str">
        <f>VLOOKUP($C26,'Task Order Setup'!$A$1:$C$23,3, FALSE)</f>
        <v>Monitoring Services</v>
      </c>
      <c r="D19" s="642"/>
      <c r="E19" s="174"/>
      <c r="F19" s="326"/>
      <c r="G19" s="326"/>
      <c r="H19" s="326"/>
      <c r="I19" s="326"/>
      <c r="J19" s="326"/>
      <c r="K19" s="326"/>
      <c r="L19" s="326"/>
      <c r="M19" s="326"/>
      <c r="N19" s="326"/>
      <c r="O19" s="326"/>
      <c r="P19" s="570"/>
      <c r="Q19" s="325"/>
      <c r="R19" s="325"/>
      <c r="S19" s="325"/>
      <c r="T19" s="325"/>
      <c r="U19" s="325"/>
      <c r="V19" s="325"/>
      <c r="W19" s="325"/>
      <c r="X19" s="325"/>
      <c r="Y19" s="325"/>
      <c r="Z19" s="325"/>
      <c r="AA19" s="325"/>
      <c r="AB19" s="325"/>
      <c r="AC19" s="325"/>
      <c r="AD19" s="325"/>
      <c r="AE19" s="325"/>
      <c r="AF19" s="325"/>
      <c r="AG19" s="325"/>
      <c r="AH19" s="325"/>
      <c r="AI19" s="325"/>
      <c r="AJ19" s="325"/>
      <c r="AK19" s="325"/>
      <c r="AL19" s="325"/>
      <c r="AM19" s="325"/>
    </row>
    <row r="20" spans="1:39" ht="15" thickTop="1">
      <c r="A20" s="46"/>
      <c r="B20" s="681">
        <v>2.1</v>
      </c>
      <c r="C20" s="580" t="s">
        <v>259</v>
      </c>
      <c r="D20" s="649"/>
      <c r="E20" s="667">
        <f t="shared" ref="E20:E25" si="2">SUM(F20:P20)</f>
        <v>30</v>
      </c>
      <c r="F20" s="668"/>
      <c r="G20" s="668"/>
      <c r="H20" s="668"/>
      <c r="I20" s="668">
        <v>30</v>
      </c>
      <c r="J20" s="668"/>
      <c r="K20" s="668"/>
      <c r="L20" s="668"/>
      <c r="M20" s="668"/>
      <c r="N20" s="668"/>
      <c r="O20" s="668"/>
      <c r="P20" s="670"/>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row>
    <row r="21" spans="1:39" ht="14">
      <c r="A21" s="173"/>
      <c r="B21" s="681">
        <v>2.2000000000000002</v>
      </c>
      <c r="C21" s="581" t="s">
        <v>260</v>
      </c>
      <c r="D21" s="649" t="s">
        <v>263</v>
      </c>
      <c r="E21" s="667">
        <f t="shared" si="2"/>
        <v>35</v>
      </c>
      <c r="F21" s="669"/>
      <c r="G21" s="669"/>
      <c r="H21" s="669">
        <v>20</v>
      </c>
      <c r="I21" s="669"/>
      <c r="J21" s="669">
        <v>15</v>
      </c>
      <c r="K21" s="669"/>
      <c r="L21" s="669"/>
      <c r="M21" s="669"/>
      <c r="N21" s="669"/>
      <c r="O21" s="669"/>
      <c r="P21" s="671"/>
      <c r="Q21" s="325"/>
      <c r="R21" s="325"/>
      <c r="S21" s="325"/>
      <c r="T21" s="325"/>
      <c r="U21" s="325"/>
      <c r="V21" s="325"/>
      <c r="W21" s="325"/>
      <c r="X21" s="325"/>
      <c r="Y21" s="325"/>
      <c r="Z21" s="325"/>
      <c r="AA21" s="325"/>
      <c r="AB21" s="325"/>
      <c r="AC21" s="325"/>
      <c r="AD21" s="325"/>
      <c r="AE21" s="325"/>
      <c r="AF21" s="325"/>
      <c r="AG21" s="325"/>
      <c r="AH21" s="325"/>
      <c r="AI21" s="325"/>
      <c r="AJ21" s="325"/>
      <c r="AK21" s="325"/>
      <c r="AL21" s="325"/>
      <c r="AM21" s="325"/>
    </row>
    <row r="22" spans="1:39" ht="14">
      <c r="A22" s="173"/>
      <c r="B22" s="681">
        <v>2.2999999999999998</v>
      </c>
      <c r="C22" s="581" t="s">
        <v>261</v>
      </c>
      <c r="D22" s="649" t="s">
        <v>262</v>
      </c>
      <c r="E22" s="667">
        <f t="shared" si="2"/>
        <v>120</v>
      </c>
      <c r="F22" s="669"/>
      <c r="G22" s="669"/>
      <c r="H22" s="669">
        <v>20</v>
      </c>
      <c r="I22" s="669"/>
      <c r="J22" s="669">
        <v>100</v>
      </c>
      <c r="K22" s="669"/>
      <c r="L22" s="669"/>
      <c r="M22" s="669"/>
      <c r="N22" s="669"/>
      <c r="O22" s="669"/>
      <c r="P22" s="671"/>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row>
    <row r="23" spans="1:39">
      <c r="A23" s="173"/>
      <c r="B23" s="681">
        <v>2.4</v>
      </c>
      <c r="C23" s="581"/>
      <c r="D23" s="649"/>
      <c r="E23" s="667">
        <f t="shared" si="2"/>
        <v>0</v>
      </c>
      <c r="F23" s="669"/>
      <c r="G23" s="669"/>
      <c r="H23" s="669"/>
      <c r="I23" s="669"/>
      <c r="J23" s="669"/>
      <c r="K23" s="669"/>
      <c r="L23" s="669"/>
      <c r="M23" s="669"/>
      <c r="N23" s="669"/>
      <c r="O23" s="669"/>
      <c r="P23" s="671"/>
      <c r="Q23" s="325"/>
      <c r="R23" s="325"/>
      <c r="S23" s="325"/>
      <c r="T23" s="325"/>
      <c r="U23" s="325"/>
      <c r="V23" s="325"/>
      <c r="W23" s="325"/>
      <c r="X23" s="325"/>
      <c r="Y23" s="325"/>
      <c r="Z23" s="325"/>
      <c r="AA23" s="325"/>
      <c r="AB23" s="325"/>
      <c r="AC23" s="325"/>
      <c r="AD23" s="325"/>
      <c r="AE23" s="325"/>
      <c r="AF23" s="325"/>
      <c r="AG23" s="325"/>
      <c r="AH23" s="325"/>
      <c r="AI23" s="325"/>
      <c r="AJ23" s="325"/>
      <c r="AK23" s="325"/>
      <c r="AL23" s="325"/>
      <c r="AM23" s="325"/>
    </row>
    <row r="24" spans="1:39">
      <c r="A24" s="173"/>
      <c r="B24" s="681">
        <v>2.5</v>
      </c>
      <c r="C24" s="579"/>
      <c r="D24" s="649"/>
      <c r="E24" s="667">
        <f t="shared" si="2"/>
        <v>0</v>
      </c>
      <c r="F24" s="669"/>
      <c r="G24" s="669"/>
      <c r="H24" s="669"/>
      <c r="I24" s="669"/>
      <c r="J24" s="669"/>
      <c r="K24" s="669"/>
      <c r="L24" s="669"/>
      <c r="M24" s="669"/>
      <c r="N24" s="669"/>
      <c r="O24" s="669"/>
      <c r="P24" s="671"/>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row>
    <row r="25" spans="1:39">
      <c r="A25" s="173"/>
      <c r="B25" s="681">
        <v>2.6</v>
      </c>
      <c r="C25" s="579"/>
      <c r="D25" s="649"/>
      <c r="E25" s="667">
        <f t="shared" si="2"/>
        <v>0</v>
      </c>
      <c r="F25" s="669"/>
      <c r="G25" s="669"/>
      <c r="H25" s="669"/>
      <c r="I25" s="669"/>
      <c r="J25" s="669"/>
      <c r="K25" s="669"/>
      <c r="L25" s="669"/>
      <c r="M25" s="669"/>
      <c r="N25" s="669"/>
      <c r="O25" s="669"/>
      <c r="P25" s="671"/>
      <c r="Q25" s="325"/>
      <c r="R25" s="325"/>
      <c r="S25" s="325"/>
      <c r="T25" s="325"/>
      <c r="U25" s="325"/>
      <c r="V25" s="325"/>
      <c r="W25" s="325"/>
      <c r="X25" s="325"/>
      <c r="Y25" s="325"/>
      <c r="Z25" s="325"/>
      <c r="AA25" s="325"/>
      <c r="AB25" s="325"/>
      <c r="AC25" s="325"/>
      <c r="AD25" s="325"/>
      <c r="AE25" s="325"/>
      <c r="AF25" s="325"/>
      <c r="AG25" s="325"/>
      <c r="AH25" s="325"/>
      <c r="AI25" s="325"/>
      <c r="AJ25" s="325"/>
      <c r="AK25" s="325"/>
      <c r="AL25" s="325"/>
      <c r="AM25" s="325"/>
    </row>
    <row r="26" spans="1:39" ht="14" thickBot="1">
      <c r="A26" s="320" t="str">
        <f>$A$17</f>
        <v>Total</v>
      </c>
      <c r="B26" s="608"/>
      <c r="C26" s="606" t="str">
        <f>"Subtask No. "&amp;A19</f>
        <v>Subtask No. 2</v>
      </c>
      <c r="D26" s="643"/>
      <c r="E26" s="5">
        <f t="shared" ref="E26:K26" si="3">SUM(E20:E25)</f>
        <v>185</v>
      </c>
      <c r="F26" s="556">
        <f t="shared" si="3"/>
        <v>0</v>
      </c>
      <c r="G26" s="610">
        <f t="shared" si="3"/>
        <v>0</v>
      </c>
      <c r="H26" s="610">
        <f t="shared" si="3"/>
        <v>40</v>
      </c>
      <c r="I26" s="610">
        <f t="shared" si="3"/>
        <v>30</v>
      </c>
      <c r="J26" s="610">
        <f t="shared" si="3"/>
        <v>115</v>
      </c>
      <c r="K26" s="610">
        <f t="shared" si="3"/>
        <v>0</v>
      </c>
      <c r="L26" s="610">
        <f t="shared" ref="L26:M26" si="4">SUM(L20:L25)</f>
        <v>0</v>
      </c>
      <c r="M26" s="610">
        <f t="shared" si="4"/>
        <v>0</v>
      </c>
      <c r="N26" s="610">
        <f>SUM(N20:N25)</f>
        <v>0</v>
      </c>
      <c r="O26" s="610">
        <f>SUM(O20:O25)</f>
        <v>0</v>
      </c>
      <c r="P26" s="568">
        <f t="shared" ref="P26" si="5">SUM(P20:P25)</f>
        <v>0</v>
      </c>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row>
    <row r="27" spans="1:39" ht="15" thickTop="1" thickBot="1">
      <c r="A27" s="323"/>
      <c r="B27" s="44"/>
      <c r="C27" s="324"/>
      <c r="D27" s="645"/>
      <c r="E27" s="2"/>
      <c r="F27" s="310"/>
      <c r="G27" s="310"/>
      <c r="H27" s="310"/>
      <c r="I27" s="310"/>
      <c r="J27" s="310"/>
      <c r="K27" s="310"/>
      <c r="L27" s="310"/>
      <c r="M27" s="310"/>
      <c r="N27" s="310"/>
      <c r="O27" s="310"/>
      <c r="P27" s="569"/>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row>
    <row r="28" spans="1:39" ht="16" thickTop="1" thickBot="1">
      <c r="A28" s="697">
        <v>3</v>
      </c>
      <c r="B28" s="696"/>
      <c r="C28" s="317" t="str">
        <f>VLOOKUP($C35,'Task Order Setup'!$A$1:$C$23,3, FALSE)</f>
        <v>Project Management</v>
      </c>
      <c r="D28" s="644"/>
      <c r="E28" s="174"/>
      <c r="F28" s="326"/>
      <c r="G28" s="326"/>
      <c r="H28" s="326"/>
      <c r="I28" s="326"/>
      <c r="J28" s="326"/>
      <c r="K28" s="326"/>
      <c r="L28" s="326"/>
      <c r="M28" s="326"/>
      <c r="N28" s="326"/>
      <c r="O28" s="326"/>
      <c r="P28" s="570"/>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row>
    <row r="29" spans="1:39" ht="14" thickTop="1">
      <c r="A29" s="46"/>
      <c r="B29" s="681">
        <v>3.1</v>
      </c>
      <c r="C29" s="580"/>
      <c r="D29" s="649"/>
      <c r="E29" s="667">
        <f t="shared" ref="E29:E34" si="6">SUM(F29:P29)</f>
        <v>0</v>
      </c>
      <c r="F29" s="668"/>
      <c r="G29" s="668"/>
      <c r="H29" s="668"/>
      <c r="I29" s="668"/>
      <c r="J29" s="668"/>
      <c r="K29" s="668"/>
      <c r="L29" s="668"/>
      <c r="M29" s="668"/>
      <c r="N29" s="668"/>
      <c r="O29" s="668"/>
      <c r="P29" s="670"/>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row>
    <row r="30" spans="1:39">
      <c r="A30" s="173"/>
      <c r="B30" s="681">
        <v>3.2</v>
      </c>
      <c r="C30" s="581"/>
      <c r="D30" s="649"/>
      <c r="E30" s="667">
        <f t="shared" si="6"/>
        <v>0</v>
      </c>
      <c r="F30" s="669"/>
      <c r="G30" s="669"/>
      <c r="H30" s="669"/>
      <c r="I30" s="669"/>
      <c r="J30" s="669"/>
      <c r="K30" s="669"/>
      <c r="L30" s="669"/>
      <c r="M30" s="669"/>
      <c r="N30" s="669"/>
      <c r="O30" s="669"/>
      <c r="P30" s="671"/>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row>
    <row r="31" spans="1:39">
      <c r="A31" s="173"/>
      <c r="B31" s="681">
        <v>3.3</v>
      </c>
      <c r="C31" s="581"/>
      <c r="D31" s="649"/>
      <c r="E31" s="667">
        <f t="shared" si="6"/>
        <v>0</v>
      </c>
      <c r="F31" s="669"/>
      <c r="G31" s="669"/>
      <c r="H31" s="669"/>
      <c r="I31" s="669"/>
      <c r="J31" s="669"/>
      <c r="K31" s="669"/>
      <c r="L31" s="669"/>
      <c r="M31" s="669"/>
      <c r="N31" s="669"/>
      <c r="O31" s="669"/>
      <c r="P31" s="671"/>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row>
    <row r="32" spans="1:39">
      <c r="A32" s="173"/>
      <c r="B32" s="681">
        <v>3.4</v>
      </c>
      <c r="C32" s="581"/>
      <c r="D32" s="649"/>
      <c r="E32" s="667">
        <f t="shared" si="6"/>
        <v>0</v>
      </c>
      <c r="F32" s="669"/>
      <c r="G32" s="669"/>
      <c r="H32" s="669"/>
      <c r="I32" s="669"/>
      <c r="J32" s="669"/>
      <c r="K32" s="669"/>
      <c r="L32" s="669"/>
      <c r="M32" s="669"/>
      <c r="N32" s="669"/>
      <c r="O32" s="669"/>
      <c r="P32" s="671"/>
      <c r="Q32" s="325"/>
      <c r="R32" s="325"/>
      <c r="S32" s="325"/>
      <c r="T32" s="325"/>
      <c r="U32" s="325"/>
      <c r="V32" s="325"/>
      <c r="W32" s="325"/>
      <c r="X32" s="325"/>
      <c r="Y32" s="325"/>
      <c r="Z32" s="325"/>
      <c r="AA32" s="325"/>
      <c r="AB32" s="325"/>
      <c r="AC32" s="325"/>
      <c r="AD32" s="325"/>
      <c r="AE32" s="325"/>
      <c r="AF32" s="325"/>
      <c r="AG32" s="325"/>
      <c r="AH32" s="325"/>
      <c r="AI32" s="325"/>
      <c r="AJ32" s="325"/>
      <c r="AK32" s="325"/>
      <c r="AL32" s="325"/>
      <c r="AM32" s="325"/>
    </row>
    <row r="33" spans="1:39">
      <c r="A33" s="173"/>
      <c r="B33" s="681">
        <v>3.5</v>
      </c>
      <c r="C33" s="582"/>
      <c r="D33" s="649"/>
      <c r="E33" s="667">
        <f t="shared" si="6"/>
        <v>0</v>
      </c>
      <c r="F33" s="669"/>
      <c r="G33" s="669"/>
      <c r="H33" s="669"/>
      <c r="I33" s="669"/>
      <c r="J33" s="669"/>
      <c r="K33" s="669"/>
      <c r="L33" s="669"/>
      <c r="M33" s="669"/>
      <c r="N33" s="669"/>
      <c r="O33" s="669"/>
      <c r="P33" s="671"/>
      <c r="Q33" s="325"/>
      <c r="R33" s="325"/>
      <c r="S33" s="325"/>
      <c r="T33" s="325"/>
      <c r="U33" s="325"/>
      <c r="V33" s="325"/>
      <c r="W33" s="325"/>
      <c r="X33" s="325"/>
      <c r="Y33" s="325"/>
      <c r="Z33" s="325"/>
      <c r="AA33" s="325"/>
      <c r="AB33" s="325"/>
      <c r="AC33" s="325"/>
      <c r="AD33" s="325"/>
      <c r="AE33" s="325"/>
      <c r="AF33" s="325"/>
      <c r="AG33" s="325"/>
      <c r="AH33" s="325"/>
      <c r="AI33" s="325"/>
      <c r="AJ33" s="325"/>
      <c r="AK33" s="325"/>
      <c r="AL33" s="325"/>
      <c r="AM33" s="325"/>
    </row>
    <row r="34" spans="1:39">
      <c r="A34" s="173"/>
      <c r="B34" s="681">
        <v>3.6</v>
      </c>
      <c r="C34" s="579"/>
      <c r="D34" s="649"/>
      <c r="E34" s="667">
        <f t="shared" si="6"/>
        <v>0</v>
      </c>
      <c r="F34" s="669"/>
      <c r="G34" s="669"/>
      <c r="H34" s="669"/>
      <c r="I34" s="669"/>
      <c r="J34" s="669"/>
      <c r="K34" s="669"/>
      <c r="L34" s="669"/>
      <c r="M34" s="669"/>
      <c r="N34" s="669"/>
      <c r="O34" s="669"/>
      <c r="P34" s="671"/>
      <c r="Q34" s="325"/>
      <c r="R34" s="325"/>
      <c r="S34" s="325"/>
      <c r="T34" s="325"/>
      <c r="U34" s="325"/>
      <c r="V34" s="325"/>
      <c r="W34" s="325"/>
      <c r="X34" s="325"/>
      <c r="Y34" s="325"/>
      <c r="Z34" s="325"/>
      <c r="AA34" s="325"/>
      <c r="AB34" s="325"/>
      <c r="AC34" s="325"/>
      <c r="AD34" s="325"/>
      <c r="AE34" s="325"/>
      <c r="AF34" s="325"/>
      <c r="AG34" s="325"/>
      <c r="AH34" s="325"/>
      <c r="AI34" s="325"/>
      <c r="AJ34" s="325"/>
      <c r="AK34" s="325"/>
      <c r="AL34" s="325"/>
      <c r="AM34" s="325"/>
    </row>
    <row r="35" spans="1:39" ht="14" thickBot="1">
      <c r="A35" s="320" t="str">
        <f>$A$17</f>
        <v>Total</v>
      </c>
      <c r="B35" s="608"/>
      <c r="C35" s="606" t="str">
        <f>"Subtask No. "&amp;A28</f>
        <v>Subtask No. 3</v>
      </c>
      <c r="D35" s="643"/>
      <c r="E35" s="5">
        <f t="shared" ref="E35:K35" si="7">SUM(E29:E34)</f>
        <v>0</v>
      </c>
      <c r="F35" s="556">
        <f t="shared" si="7"/>
        <v>0</v>
      </c>
      <c r="G35" s="610">
        <f t="shared" si="7"/>
        <v>0</v>
      </c>
      <c r="H35" s="610">
        <f t="shared" si="7"/>
        <v>0</v>
      </c>
      <c r="I35" s="610">
        <f t="shared" si="7"/>
        <v>0</v>
      </c>
      <c r="J35" s="610">
        <f t="shared" si="7"/>
        <v>0</v>
      </c>
      <c r="K35" s="610">
        <f t="shared" si="7"/>
        <v>0</v>
      </c>
      <c r="L35" s="610">
        <f t="shared" ref="L35:M35" si="8">SUM(L29:L34)</f>
        <v>0</v>
      </c>
      <c r="M35" s="610">
        <f t="shared" si="8"/>
        <v>0</v>
      </c>
      <c r="N35" s="610">
        <f>SUM(N29:N34)</f>
        <v>0</v>
      </c>
      <c r="O35" s="610">
        <f>SUM(O29:O34)</f>
        <v>0</v>
      </c>
      <c r="P35" s="609">
        <f t="shared" ref="P35" si="9">SUM(P29:P34)</f>
        <v>0</v>
      </c>
      <c r="Q35" s="325"/>
      <c r="R35" s="325"/>
      <c r="S35" s="325"/>
      <c r="T35" s="325"/>
      <c r="U35" s="325"/>
      <c r="V35" s="325"/>
      <c r="W35" s="325"/>
      <c r="X35" s="325"/>
      <c r="Y35" s="325"/>
      <c r="Z35" s="325"/>
      <c r="AA35" s="325"/>
      <c r="AB35" s="325"/>
      <c r="AC35" s="325"/>
      <c r="AD35" s="325"/>
      <c r="AE35" s="325"/>
      <c r="AF35" s="325"/>
      <c r="AG35" s="325"/>
      <c r="AH35" s="325"/>
      <c r="AI35" s="325"/>
      <c r="AJ35" s="325"/>
      <c r="AK35" s="325"/>
      <c r="AL35" s="325"/>
      <c r="AM35" s="325"/>
    </row>
    <row r="36" spans="1:39" ht="15" thickTop="1" thickBot="1">
      <c r="A36" s="323"/>
      <c r="B36" s="44"/>
      <c r="C36" s="324"/>
      <c r="D36" s="644"/>
      <c r="E36" s="2"/>
      <c r="F36" s="310"/>
      <c r="G36" s="310"/>
      <c r="H36" s="310"/>
      <c r="I36" s="310"/>
      <c r="J36" s="310"/>
      <c r="K36" s="310"/>
      <c r="L36" s="310"/>
      <c r="M36" s="310"/>
      <c r="N36" s="310"/>
      <c r="O36" s="310"/>
      <c r="P36" s="569"/>
      <c r="Q36" s="325"/>
      <c r="R36" s="325"/>
      <c r="S36" s="325"/>
      <c r="T36" s="325"/>
      <c r="U36" s="325"/>
      <c r="V36" s="325"/>
      <c r="W36" s="325"/>
      <c r="X36" s="325"/>
      <c r="Y36" s="325"/>
      <c r="Z36" s="325"/>
      <c r="AA36" s="325"/>
      <c r="AB36" s="325"/>
      <c r="AC36" s="325"/>
      <c r="AD36" s="325"/>
      <c r="AE36" s="325"/>
      <c r="AF36" s="325"/>
      <c r="AG36" s="325"/>
      <c r="AH36" s="325"/>
      <c r="AI36" s="325"/>
      <c r="AJ36" s="325"/>
      <c r="AK36" s="325"/>
      <c r="AL36" s="325"/>
      <c r="AM36" s="325"/>
    </row>
    <row r="37" spans="1:39" ht="16" thickTop="1" thickBot="1">
      <c r="A37" s="697">
        <v>4</v>
      </c>
      <c r="B37" s="696"/>
      <c r="C37" s="317" t="str">
        <f>VLOOKUP($C44,'Task Order Setup'!$A$1:$C$23,3, FALSE)</f>
        <v>.</v>
      </c>
      <c r="D37" s="646"/>
      <c r="E37" s="174"/>
      <c r="F37" s="326"/>
      <c r="G37" s="326"/>
      <c r="H37" s="326"/>
      <c r="I37" s="326"/>
      <c r="J37" s="326"/>
      <c r="K37" s="326"/>
      <c r="L37" s="326"/>
      <c r="M37" s="326"/>
      <c r="N37" s="326"/>
      <c r="O37" s="326"/>
      <c r="P37" s="570"/>
      <c r="Q37" s="325"/>
      <c r="R37" s="325"/>
      <c r="S37" s="325"/>
      <c r="T37" s="325"/>
      <c r="U37" s="325"/>
      <c r="V37" s="325"/>
      <c r="W37" s="325"/>
      <c r="X37" s="325"/>
      <c r="Y37" s="325"/>
      <c r="Z37" s="325"/>
      <c r="AA37" s="325"/>
      <c r="AB37" s="325"/>
      <c r="AC37" s="325"/>
      <c r="AD37" s="325"/>
      <c r="AE37" s="325"/>
      <c r="AF37" s="325"/>
      <c r="AG37" s="325"/>
      <c r="AH37" s="325"/>
      <c r="AI37" s="325"/>
      <c r="AJ37" s="325"/>
      <c r="AK37" s="325"/>
      <c r="AL37" s="325"/>
      <c r="AM37" s="325"/>
    </row>
    <row r="38" spans="1:39" ht="14" thickTop="1">
      <c r="A38" s="46"/>
      <c r="B38" s="681">
        <v>4.0999999999999996</v>
      </c>
      <c r="C38" s="579"/>
      <c r="D38" s="649"/>
      <c r="E38" s="667">
        <f t="shared" ref="E38:E43" si="10">SUM(F38:P38)</f>
        <v>0</v>
      </c>
      <c r="F38" s="668"/>
      <c r="G38" s="668"/>
      <c r="H38" s="668"/>
      <c r="I38" s="668"/>
      <c r="J38" s="668"/>
      <c r="K38" s="668"/>
      <c r="L38" s="668"/>
      <c r="M38" s="668"/>
      <c r="N38" s="668"/>
      <c r="O38" s="668"/>
      <c r="P38" s="670"/>
      <c r="Q38" s="325"/>
      <c r="R38" s="325"/>
      <c r="S38" s="325"/>
      <c r="T38" s="325"/>
      <c r="U38" s="325"/>
      <c r="V38" s="325"/>
      <c r="W38" s="325"/>
      <c r="X38" s="325"/>
      <c r="Y38" s="325"/>
      <c r="Z38" s="325"/>
      <c r="AA38" s="325"/>
      <c r="AB38" s="325"/>
      <c r="AC38" s="325"/>
      <c r="AD38" s="325"/>
      <c r="AE38" s="325"/>
      <c r="AF38" s="325"/>
      <c r="AG38" s="325"/>
      <c r="AH38" s="325"/>
      <c r="AI38" s="325"/>
      <c r="AJ38" s="325"/>
      <c r="AK38" s="325"/>
      <c r="AL38" s="325"/>
      <c r="AM38" s="325"/>
    </row>
    <row r="39" spans="1:39">
      <c r="A39" s="173"/>
      <c r="B39" s="681">
        <v>4.2</v>
      </c>
      <c r="C39" s="579"/>
      <c r="D39" s="649"/>
      <c r="E39" s="667">
        <f t="shared" si="10"/>
        <v>0</v>
      </c>
      <c r="F39" s="668"/>
      <c r="G39" s="668"/>
      <c r="H39" s="668"/>
      <c r="I39" s="668"/>
      <c r="J39" s="668"/>
      <c r="K39" s="669"/>
      <c r="L39" s="669"/>
      <c r="M39" s="669"/>
      <c r="N39" s="669"/>
      <c r="O39" s="669"/>
      <c r="P39" s="671"/>
      <c r="Q39" s="325"/>
      <c r="R39" s="325"/>
      <c r="S39" s="325"/>
      <c r="T39" s="325"/>
      <c r="U39" s="325"/>
      <c r="V39" s="325"/>
      <c r="W39" s="325"/>
      <c r="X39" s="325"/>
      <c r="Y39" s="325"/>
      <c r="Z39" s="325"/>
      <c r="AA39" s="325"/>
      <c r="AB39" s="325"/>
      <c r="AC39" s="325"/>
      <c r="AD39" s="325"/>
      <c r="AE39" s="325"/>
      <c r="AF39" s="325"/>
      <c r="AG39" s="325"/>
      <c r="AH39" s="325"/>
      <c r="AI39" s="325"/>
      <c r="AJ39" s="325"/>
      <c r="AK39" s="325"/>
      <c r="AL39" s="325"/>
      <c r="AM39" s="325"/>
    </row>
    <row r="40" spans="1:39">
      <c r="A40" s="173"/>
      <c r="B40" s="681">
        <v>4.3</v>
      </c>
      <c r="C40" s="579"/>
      <c r="D40" s="649"/>
      <c r="E40" s="667">
        <f t="shared" si="10"/>
        <v>0</v>
      </c>
      <c r="F40" s="669"/>
      <c r="G40" s="669"/>
      <c r="H40" s="669"/>
      <c r="I40" s="669"/>
      <c r="J40" s="669"/>
      <c r="K40" s="669"/>
      <c r="L40" s="669"/>
      <c r="M40" s="669"/>
      <c r="N40" s="669"/>
      <c r="O40" s="669"/>
      <c r="P40" s="671"/>
      <c r="Q40" s="325"/>
      <c r="R40" s="325"/>
      <c r="S40" s="325"/>
      <c r="T40" s="325"/>
      <c r="U40" s="325"/>
      <c r="V40" s="325"/>
      <c r="W40" s="325"/>
      <c r="X40" s="325"/>
      <c r="Y40" s="325"/>
      <c r="Z40" s="325"/>
      <c r="AA40" s="325"/>
      <c r="AB40" s="325"/>
      <c r="AC40" s="325"/>
      <c r="AD40" s="325"/>
      <c r="AE40" s="325"/>
      <c r="AF40" s="325"/>
      <c r="AG40" s="325"/>
      <c r="AH40" s="325"/>
      <c r="AI40" s="325"/>
      <c r="AJ40" s="325"/>
      <c r="AK40" s="325"/>
      <c r="AL40" s="325"/>
      <c r="AM40" s="325"/>
    </row>
    <row r="41" spans="1:39">
      <c r="A41" s="173"/>
      <c r="B41" s="681">
        <v>4.4000000000000004</v>
      </c>
      <c r="C41" s="579"/>
      <c r="D41" s="649"/>
      <c r="E41" s="667">
        <f t="shared" si="10"/>
        <v>0</v>
      </c>
      <c r="F41" s="669"/>
      <c r="G41" s="669"/>
      <c r="H41" s="669"/>
      <c r="I41" s="669"/>
      <c r="J41" s="669"/>
      <c r="K41" s="669"/>
      <c r="L41" s="669"/>
      <c r="M41" s="669"/>
      <c r="N41" s="669"/>
      <c r="O41" s="669"/>
      <c r="P41" s="671"/>
      <c r="Q41" s="325"/>
      <c r="R41" s="325"/>
      <c r="S41" s="325"/>
      <c r="T41" s="325"/>
      <c r="U41" s="325"/>
      <c r="V41" s="325"/>
      <c r="W41" s="325"/>
      <c r="X41" s="325"/>
      <c r="Y41" s="325"/>
      <c r="Z41" s="325"/>
      <c r="AA41" s="325"/>
      <c r="AB41" s="325"/>
      <c r="AC41" s="325"/>
      <c r="AD41" s="325"/>
      <c r="AE41" s="325"/>
      <c r="AF41" s="325"/>
      <c r="AG41" s="325"/>
      <c r="AH41" s="325"/>
      <c r="AI41" s="325"/>
      <c r="AJ41" s="325"/>
      <c r="AK41" s="325"/>
      <c r="AL41" s="325"/>
      <c r="AM41" s="325"/>
    </row>
    <row r="42" spans="1:39">
      <c r="A42" s="173"/>
      <c r="B42" s="681">
        <v>4.5</v>
      </c>
      <c r="C42" s="579"/>
      <c r="D42" s="649"/>
      <c r="E42" s="667">
        <f t="shared" si="10"/>
        <v>0</v>
      </c>
      <c r="F42" s="669"/>
      <c r="G42" s="669"/>
      <c r="H42" s="669"/>
      <c r="I42" s="669"/>
      <c r="J42" s="669"/>
      <c r="K42" s="669"/>
      <c r="L42" s="669"/>
      <c r="M42" s="669"/>
      <c r="N42" s="669"/>
      <c r="O42" s="669"/>
      <c r="P42" s="671"/>
      <c r="Q42" s="325"/>
      <c r="R42" s="325"/>
      <c r="S42" s="325"/>
      <c r="T42" s="325"/>
      <c r="U42" s="325"/>
      <c r="V42" s="325"/>
      <c r="W42" s="325"/>
      <c r="X42" s="325"/>
      <c r="Y42" s="325"/>
      <c r="Z42" s="325"/>
      <c r="AA42" s="325"/>
      <c r="AB42" s="325"/>
      <c r="AC42" s="325"/>
      <c r="AD42" s="325"/>
      <c r="AE42" s="325"/>
      <c r="AF42" s="325"/>
      <c r="AG42" s="325"/>
      <c r="AH42" s="325"/>
      <c r="AI42" s="325"/>
      <c r="AJ42" s="325"/>
      <c r="AK42" s="325"/>
      <c r="AL42" s="325"/>
      <c r="AM42" s="325"/>
    </row>
    <row r="43" spans="1:39">
      <c r="A43" s="173"/>
      <c r="B43" s="681">
        <v>4.5999999999999996</v>
      </c>
      <c r="C43" s="579"/>
      <c r="D43" s="649"/>
      <c r="E43" s="667">
        <f t="shared" si="10"/>
        <v>0</v>
      </c>
      <c r="F43" s="669"/>
      <c r="G43" s="669"/>
      <c r="H43" s="669"/>
      <c r="I43" s="669"/>
      <c r="J43" s="669"/>
      <c r="K43" s="669"/>
      <c r="L43" s="669"/>
      <c r="M43" s="669"/>
      <c r="N43" s="669"/>
      <c r="O43" s="669"/>
      <c r="P43" s="671"/>
      <c r="Q43" s="325"/>
      <c r="R43" s="325"/>
      <c r="S43" s="325"/>
      <c r="T43" s="325"/>
      <c r="U43" s="325"/>
      <c r="V43" s="325"/>
      <c r="W43" s="325"/>
      <c r="X43" s="325"/>
      <c r="Y43" s="325"/>
      <c r="Z43" s="325"/>
      <c r="AA43" s="325"/>
      <c r="AB43" s="325"/>
      <c r="AC43" s="325"/>
      <c r="AD43" s="325"/>
      <c r="AE43" s="325"/>
      <c r="AF43" s="325"/>
      <c r="AG43" s="325"/>
      <c r="AH43" s="325"/>
      <c r="AI43" s="325"/>
      <c r="AJ43" s="325"/>
      <c r="AK43" s="325"/>
      <c r="AL43" s="325"/>
      <c r="AM43" s="325"/>
    </row>
    <row r="44" spans="1:39" ht="14" thickBot="1">
      <c r="A44" s="320" t="str">
        <f>$A$17</f>
        <v>Total</v>
      </c>
      <c r="B44" s="607"/>
      <c r="C44" s="606" t="str">
        <f>"Subtask No. "&amp;A37</f>
        <v>Subtask No. 4</v>
      </c>
      <c r="D44" s="643"/>
      <c r="E44" s="5">
        <f>SUM(E38:E43)</f>
        <v>0</v>
      </c>
      <c r="F44" s="556">
        <f t="shared" ref="F44:I44" si="11">SUM(F38:F43)</f>
        <v>0</v>
      </c>
      <c r="G44" s="610">
        <f t="shared" ref="G44:H44" si="12">SUM(G38:G43)</f>
        <v>0</v>
      </c>
      <c r="H44" s="610">
        <f t="shared" si="12"/>
        <v>0</v>
      </c>
      <c r="I44" s="610">
        <f t="shared" si="11"/>
        <v>0</v>
      </c>
      <c r="J44" s="610">
        <f t="shared" ref="J44:O44" si="13">SUM(J38:J43)</f>
        <v>0</v>
      </c>
      <c r="K44" s="610">
        <f t="shared" si="13"/>
        <v>0</v>
      </c>
      <c r="L44" s="610">
        <f t="shared" si="13"/>
        <v>0</v>
      </c>
      <c r="M44" s="610">
        <f t="shared" si="13"/>
        <v>0</v>
      </c>
      <c r="N44" s="610">
        <f t="shared" si="13"/>
        <v>0</v>
      </c>
      <c r="O44" s="610">
        <f t="shared" si="13"/>
        <v>0</v>
      </c>
      <c r="P44" s="609">
        <f>SUM(P38:P43)</f>
        <v>0</v>
      </c>
      <c r="Q44" s="325"/>
      <c r="R44" s="325"/>
      <c r="S44" s="325"/>
      <c r="T44" s="325"/>
      <c r="U44" s="325"/>
      <c r="V44" s="325"/>
      <c r="W44" s="325"/>
      <c r="X44" s="325"/>
      <c r="Y44" s="325"/>
      <c r="Z44" s="325"/>
      <c r="AA44" s="325"/>
      <c r="AB44" s="325"/>
      <c r="AC44" s="325"/>
      <c r="AD44" s="325"/>
      <c r="AE44" s="325"/>
      <c r="AF44" s="325"/>
      <c r="AG44" s="325"/>
      <c r="AH44" s="325"/>
      <c r="AI44" s="325"/>
      <c r="AJ44" s="325"/>
      <c r="AK44" s="325"/>
      <c r="AL44" s="325"/>
      <c r="AM44" s="325"/>
    </row>
    <row r="45" spans="1:39" ht="15" thickTop="1" thickBot="1">
      <c r="A45" s="323"/>
      <c r="B45" s="44"/>
      <c r="C45" s="324"/>
      <c r="D45" s="645"/>
      <c r="E45" s="2"/>
      <c r="F45" s="310"/>
      <c r="G45" s="310"/>
      <c r="H45" s="310"/>
      <c r="I45" s="310"/>
      <c r="J45" s="310"/>
      <c r="K45" s="310"/>
      <c r="L45" s="310"/>
      <c r="M45" s="310"/>
      <c r="N45" s="310"/>
      <c r="O45" s="310"/>
      <c r="P45" s="569"/>
      <c r="Q45" s="325"/>
      <c r="R45" s="325"/>
      <c r="S45" s="325"/>
      <c r="T45" s="325"/>
      <c r="U45" s="325"/>
      <c r="V45" s="325"/>
      <c r="W45" s="325"/>
      <c r="X45" s="325"/>
      <c r="Y45" s="325"/>
      <c r="Z45" s="325"/>
      <c r="AA45" s="325"/>
      <c r="AB45" s="325"/>
      <c r="AC45" s="325"/>
      <c r="AD45" s="325"/>
      <c r="AE45" s="325"/>
      <c r="AF45" s="325"/>
      <c r="AG45" s="325"/>
      <c r="AH45" s="325"/>
      <c r="AI45" s="325"/>
      <c r="AJ45" s="325"/>
      <c r="AK45" s="325"/>
      <c r="AL45" s="325"/>
      <c r="AM45" s="325"/>
    </row>
    <row r="46" spans="1:39" ht="16" thickTop="1" thickBot="1">
      <c r="A46" s="698">
        <v>5</v>
      </c>
      <c r="B46" s="699"/>
      <c r="C46" s="317" t="str">
        <f>VLOOKUP($C53,'Task Order Setup'!$A$1:$C$23,3, FALSE)</f>
        <v>.</v>
      </c>
      <c r="D46" s="644"/>
      <c r="E46" s="174"/>
      <c r="F46" s="326"/>
      <c r="G46" s="326"/>
      <c r="H46" s="326"/>
      <c r="I46" s="326"/>
      <c r="J46" s="326"/>
      <c r="K46" s="326"/>
      <c r="L46" s="326"/>
      <c r="M46" s="326"/>
      <c r="N46" s="326"/>
      <c r="O46" s="326"/>
      <c r="P46" s="570"/>
      <c r="Q46" s="325"/>
      <c r="R46" s="325"/>
      <c r="S46" s="325"/>
      <c r="T46" s="325"/>
      <c r="U46" s="325"/>
      <c r="V46" s="325"/>
      <c r="W46" s="325"/>
      <c r="X46" s="325"/>
      <c r="Y46" s="325"/>
      <c r="Z46" s="325"/>
      <c r="AA46" s="325"/>
      <c r="AB46" s="325"/>
      <c r="AC46" s="325"/>
      <c r="AD46" s="325"/>
      <c r="AE46" s="325"/>
      <c r="AF46" s="325"/>
      <c r="AG46" s="325"/>
      <c r="AH46" s="325"/>
      <c r="AI46" s="325"/>
      <c r="AJ46" s="325"/>
      <c r="AK46" s="325"/>
      <c r="AL46" s="325"/>
      <c r="AM46" s="325"/>
    </row>
    <row r="47" spans="1:39" ht="15" thickTop="1">
      <c r="A47" s="46"/>
      <c r="B47" s="681">
        <v>5.0999999999999996</v>
      </c>
      <c r="C47" s="580" t="s">
        <v>0</v>
      </c>
      <c r="D47" s="649"/>
      <c r="E47" s="667">
        <f t="shared" ref="E47:E52" si="14">SUM(F47:P47)</f>
        <v>0</v>
      </c>
      <c r="F47" s="668" t="s">
        <v>0</v>
      </c>
      <c r="G47" s="668"/>
      <c r="H47" s="668"/>
      <c r="I47" s="668"/>
      <c r="J47" s="668"/>
      <c r="K47" s="668"/>
      <c r="L47" s="668"/>
      <c r="M47" s="668"/>
      <c r="N47" s="668"/>
      <c r="O47" s="668"/>
      <c r="P47" s="670"/>
      <c r="Q47" s="325"/>
      <c r="R47" s="325"/>
      <c r="S47" s="325"/>
      <c r="T47" s="325"/>
      <c r="U47" s="325"/>
      <c r="V47" s="325"/>
      <c r="W47" s="325"/>
      <c r="X47" s="325"/>
      <c r="Y47" s="325"/>
      <c r="Z47" s="325"/>
      <c r="AA47" s="325"/>
      <c r="AB47" s="325"/>
      <c r="AC47" s="325"/>
      <c r="AD47" s="325"/>
      <c r="AE47" s="325"/>
      <c r="AF47" s="325"/>
      <c r="AG47" s="325"/>
      <c r="AH47" s="325"/>
      <c r="AI47" s="325"/>
      <c r="AJ47" s="325"/>
      <c r="AK47" s="325"/>
      <c r="AL47" s="325"/>
      <c r="AM47" s="325"/>
    </row>
    <row r="48" spans="1:39" ht="14">
      <c r="A48" s="173"/>
      <c r="B48" s="681">
        <v>5.2</v>
      </c>
      <c r="C48" s="579" t="s">
        <v>0</v>
      </c>
      <c r="D48" s="649"/>
      <c r="E48" s="667">
        <f t="shared" si="14"/>
        <v>0</v>
      </c>
      <c r="F48" s="669"/>
      <c r="G48" s="669"/>
      <c r="H48" s="669"/>
      <c r="I48" s="669"/>
      <c r="J48" s="669"/>
      <c r="K48" s="669"/>
      <c r="L48" s="669"/>
      <c r="M48" s="669"/>
      <c r="N48" s="669"/>
      <c r="O48" s="669"/>
      <c r="P48" s="671"/>
      <c r="Q48" s="325"/>
      <c r="R48" s="325"/>
      <c r="S48" s="325"/>
      <c r="T48" s="325"/>
      <c r="U48" s="325"/>
      <c r="V48" s="325"/>
      <c r="W48" s="325"/>
      <c r="X48" s="325"/>
      <c r="Y48" s="325"/>
      <c r="Z48" s="325"/>
      <c r="AA48" s="325"/>
      <c r="AB48" s="325"/>
      <c r="AC48" s="325"/>
      <c r="AD48" s="325"/>
      <c r="AE48" s="325"/>
      <c r="AF48" s="325"/>
      <c r="AG48" s="325"/>
      <c r="AH48" s="325"/>
      <c r="AI48" s="325"/>
      <c r="AJ48" s="325"/>
      <c r="AK48" s="325"/>
      <c r="AL48" s="325"/>
      <c r="AM48" s="325"/>
    </row>
    <row r="49" spans="1:39">
      <c r="A49" s="173"/>
      <c r="B49" s="681">
        <v>5.3</v>
      </c>
      <c r="C49" s="579"/>
      <c r="D49" s="649"/>
      <c r="E49" s="667">
        <f t="shared" si="14"/>
        <v>0</v>
      </c>
      <c r="F49" s="669"/>
      <c r="G49" s="669"/>
      <c r="H49" s="669"/>
      <c r="I49" s="669"/>
      <c r="J49" s="669"/>
      <c r="K49" s="669"/>
      <c r="L49" s="669"/>
      <c r="M49" s="669"/>
      <c r="N49" s="669"/>
      <c r="O49" s="669"/>
      <c r="P49" s="671"/>
      <c r="Q49" s="325"/>
      <c r="R49" s="325"/>
      <c r="S49" s="325"/>
      <c r="T49" s="325"/>
      <c r="U49" s="325"/>
      <c r="V49" s="325"/>
      <c r="W49" s="325"/>
      <c r="X49" s="325"/>
      <c r="Y49" s="325"/>
      <c r="Z49" s="325"/>
      <c r="AA49" s="325"/>
      <c r="AB49" s="325"/>
      <c r="AC49" s="325"/>
      <c r="AD49" s="325"/>
      <c r="AE49" s="325"/>
      <c r="AF49" s="325"/>
      <c r="AG49" s="325"/>
      <c r="AH49" s="325"/>
      <c r="AI49" s="325"/>
      <c r="AJ49" s="325"/>
      <c r="AK49" s="325"/>
      <c r="AL49" s="325"/>
      <c r="AM49" s="325"/>
    </row>
    <row r="50" spans="1:39">
      <c r="A50" s="173"/>
      <c r="B50" s="681">
        <v>5.4</v>
      </c>
      <c r="C50" s="579"/>
      <c r="D50" s="649"/>
      <c r="E50" s="667">
        <f t="shared" si="14"/>
        <v>0</v>
      </c>
      <c r="F50" s="669"/>
      <c r="G50" s="669"/>
      <c r="H50" s="669"/>
      <c r="I50" s="669"/>
      <c r="J50" s="669"/>
      <c r="K50" s="669"/>
      <c r="L50" s="669"/>
      <c r="M50" s="669"/>
      <c r="N50" s="669"/>
      <c r="O50" s="669"/>
      <c r="P50" s="671"/>
      <c r="Q50" s="325"/>
      <c r="R50" s="325"/>
      <c r="S50" s="325"/>
      <c r="T50" s="325"/>
      <c r="U50" s="325"/>
      <c r="V50" s="325"/>
      <c r="W50" s="325"/>
      <c r="X50" s="325"/>
      <c r="Y50" s="325"/>
      <c r="Z50" s="325"/>
      <c r="AA50" s="325"/>
      <c r="AB50" s="325"/>
      <c r="AC50" s="325"/>
      <c r="AD50" s="325"/>
      <c r="AE50" s="325"/>
      <c r="AF50" s="325"/>
      <c r="AG50" s="325"/>
      <c r="AH50" s="325"/>
      <c r="AI50" s="325"/>
      <c r="AJ50" s="325"/>
      <c r="AK50" s="325"/>
      <c r="AL50" s="325"/>
      <c r="AM50" s="325"/>
    </row>
    <row r="51" spans="1:39">
      <c r="A51" s="173"/>
      <c r="B51" s="681">
        <v>5.5</v>
      </c>
      <c r="C51" s="579"/>
      <c r="D51" s="649"/>
      <c r="E51" s="667">
        <f t="shared" si="14"/>
        <v>0</v>
      </c>
      <c r="F51" s="669"/>
      <c r="G51" s="669"/>
      <c r="H51" s="669"/>
      <c r="I51" s="669"/>
      <c r="J51" s="669"/>
      <c r="K51" s="669"/>
      <c r="L51" s="669"/>
      <c r="M51" s="669"/>
      <c r="N51" s="669"/>
      <c r="O51" s="669"/>
      <c r="P51" s="671"/>
      <c r="Q51" s="325"/>
      <c r="R51" s="325"/>
      <c r="S51" s="325"/>
      <c r="T51" s="325"/>
      <c r="U51" s="325"/>
      <c r="V51" s="325"/>
      <c r="W51" s="325"/>
      <c r="X51" s="325"/>
      <c r="Y51" s="325"/>
      <c r="Z51" s="325"/>
      <c r="AA51" s="325"/>
      <c r="AB51" s="325"/>
      <c r="AC51" s="325"/>
      <c r="AD51" s="325"/>
      <c r="AE51" s="325"/>
      <c r="AF51" s="325"/>
      <c r="AG51" s="325"/>
      <c r="AH51" s="325"/>
      <c r="AI51" s="325"/>
      <c r="AJ51" s="325"/>
      <c r="AK51" s="325"/>
      <c r="AL51" s="325"/>
      <c r="AM51" s="325"/>
    </row>
    <row r="52" spans="1:39" ht="14">
      <c r="A52" s="173"/>
      <c r="B52" s="681">
        <v>5.6</v>
      </c>
      <c r="C52" s="579" t="s">
        <v>0</v>
      </c>
      <c r="D52" s="649"/>
      <c r="E52" s="667">
        <f t="shared" si="14"/>
        <v>0</v>
      </c>
      <c r="F52" s="669"/>
      <c r="G52" s="669"/>
      <c r="H52" s="669"/>
      <c r="I52" s="669"/>
      <c r="J52" s="669"/>
      <c r="K52" s="669"/>
      <c r="L52" s="669"/>
      <c r="M52" s="669"/>
      <c r="N52" s="669"/>
      <c r="O52" s="669"/>
      <c r="P52" s="671"/>
      <c r="Q52" s="325"/>
      <c r="R52" s="325"/>
      <c r="S52" s="325"/>
      <c r="T52" s="325"/>
      <c r="U52" s="325"/>
      <c r="V52" s="325"/>
      <c r="W52" s="325"/>
      <c r="X52" s="325"/>
      <c r="Y52" s="325"/>
      <c r="Z52" s="325"/>
      <c r="AA52" s="325"/>
      <c r="AB52" s="325"/>
      <c r="AC52" s="325"/>
      <c r="AD52" s="325"/>
      <c r="AE52" s="325"/>
      <c r="AF52" s="325"/>
      <c r="AG52" s="325"/>
      <c r="AH52" s="325"/>
      <c r="AI52" s="325"/>
      <c r="AJ52" s="325"/>
      <c r="AK52" s="325"/>
      <c r="AL52" s="325"/>
      <c r="AM52" s="325"/>
    </row>
    <row r="53" spans="1:39" ht="14" thickBot="1">
      <c r="A53" s="320" t="str">
        <f>$A$17</f>
        <v>Total</v>
      </c>
      <c r="B53" s="607"/>
      <c r="C53" s="606" t="str">
        <f>"Subtask No. "&amp;A46</f>
        <v>Subtask No. 5</v>
      </c>
      <c r="D53" s="643"/>
      <c r="E53" s="5">
        <f t="shared" ref="E53" si="15">SUM(E47:E52)</f>
        <v>0</v>
      </c>
      <c r="F53" s="4">
        <f t="shared" ref="F53:I53" si="16">SUM(F47:F52)</f>
        <v>0</v>
      </c>
      <c r="G53" s="612">
        <f t="shared" ref="G53:H53" si="17">SUM(G47:G52)</f>
        <v>0</v>
      </c>
      <c r="H53" s="612">
        <f t="shared" si="17"/>
        <v>0</v>
      </c>
      <c r="I53" s="612">
        <f t="shared" si="16"/>
        <v>0</v>
      </c>
      <c r="J53" s="612">
        <f t="shared" ref="J53:P53" si="18">SUM(J47:J52)</f>
        <v>0</v>
      </c>
      <c r="K53" s="612">
        <f t="shared" si="18"/>
        <v>0</v>
      </c>
      <c r="L53" s="612">
        <f t="shared" si="18"/>
        <v>0</v>
      </c>
      <c r="M53" s="612">
        <f t="shared" si="18"/>
        <v>0</v>
      </c>
      <c r="N53" s="612">
        <f t="shared" si="18"/>
        <v>0</v>
      </c>
      <c r="O53" s="612">
        <f t="shared" si="18"/>
        <v>0</v>
      </c>
      <c r="P53" s="611">
        <f t="shared" si="18"/>
        <v>0</v>
      </c>
      <c r="Q53" s="325"/>
      <c r="R53" s="325"/>
      <c r="S53" s="325"/>
      <c r="T53" s="325"/>
      <c r="U53" s="325"/>
      <c r="V53" s="325"/>
      <c r="W53" s="325"/>
      <c r="X53" s="325"/>
      <c r="Y53" s="325"/>
      <c r="Z53" s="325"/>
      <c r="AA53" s="325"/>
      <c r="AB53" s="325"/>
      <c r="AC53" s="325"/>
      <c r="AD53" s="325"/>
      <c r="AE53" s="325"/>
      <c r="AF53" s="325"/>
      <c r="AG53" s="325"/>
      <c r="AH53" s="325"/>
      <c r="AI53" s="325"/>
      <c r="AJ53" s="325"/>
      <c r="AK53" s="325"/>
      <c r="AL53" s="325"/>
      <c r="AM53" s="325"/>
    </row>
    <row r="54" spans="1:39" ht="15" thickTop="1" thickBot="1">
      <c r="A54" s="327"/>
      <c r="B54" s="175"/>
      <c r="C54" s="324"/>
      <c r="D54" s="644"/>
      <c r="E54" s="2"/>
      <c r="F54" s="310"/>
      <c r="G54" s="310"/>
      <c r="H54" s="310"/>
      <c r="I54" s="310"/>
      <c r="J54" s="310"/>
      <c r="K54" s="310"/>
      <c r="L54" s="310"/>
      <c r="M54" s="310"/>
      <c r="N54" s="310"/>
      <c r="O54" s="310"/>
      <c r="P54" s="569"/>
      <c r="Q54" s="325"/>
      <c r="R54" s="325"/>
      <c r="S54" s="325"/>
      <c r="T54" s="325"/>
      <c r="U54" s="325"/>
      <c r="V54" s="325"/>
      <c r="W54" s="325"/>
      <c r="X54" s="325"/>
      <c r="Y54" s="325"/>
      <c r="Z54" s="325"/>
      <c r="AA54" s="325"/>
      <c r="AB54" s="325"/>
      <c r="AC54" s="325"/>
      <c r="AD54" s="325"/>
      <c r="AE54" s="325"/>
      <c r="AF54" s="325"/>
      <c r="AG54" s="325"/>
      <c r="AH54" s="325"/>
      <c r="AI54" s="325"/>
      <c r="AJ54" s="325"/>
      <c r="AK54" s="325"/>
      <c r="AL54" s="325"/>
      <c r="AM54" s="325"/>
    </row>
    <row r="55" spans="1:39" ht="16" thickTop="1" thickBot="1">
      <c r="A55" s="697">
        <v>6</v>
      </c>
      <c r="B55" s="696"/>
      <c r="C55" s="317" t="str">
        <f>VLOOKUP($C62,'Task Order Setup'!$A$1:$C$23,3, FALSE)</f>
        <v>.</v>
      </c>
      <c r="D55" s="642"/>
      <c r="E55" s="174"/>
      <c r="F55" s="326"/>
      <c r="G55" s="326"/>
      <c r="H55" s="326"/>
      <c r="I55" s="326"/>
      <c r="J55" s="326"/>
      <c r="K55" s="326"/>
      <c r="L55" s="326"/>
      <c r="M55" s="326"/>
      <c r="N55" s="326"/>
      <c r="O55" s="326"/>
      <c r="P55" s="570"/>
      <c r="Q55" s="325"/>
      <c r="R55" s="325"/>
      <c r="S55" s="325"/>
      <c r="T55" s="325"/>
      <c r="U55" s="325"/>
      <c r="V55" s="325"/>
      <c r="W55" s="325"/>
      <c r="X55" s="325"/>
      <c r="Y55" s="325"/>
      <c r="Z55" s="325"/>
      <c r="AA55" s="325"/>
      <c r="AB55" s="325"/>
      <c r="AC55" s="325"/>
      <c r="AD55" s="325"/>
      <c r="AE55" s="325"/>
      <c r="AF55" s="325"/>
      <c r="AG55" s="325"/>
      <c r="AH55" s="325"/>
      <c r="AI55" s="325"/>
      <c r="AJ55" s="325"/>
      <c r="AK55" s="325"/>
      <c r="AL55" s="325"/>
      <c r="AM55" s="325"/>
    </row>
    <row r="56" spans="1:39" ht="14" thickTop="1">
      <c r="A56" s="46"/>
      <c r="B56" s="682">
        <v>6.1</v>
      </c>
      <c r="C56" s="580"/>
      <c r="D56" s="649"/>
      <c r="E56" s="3">
        <f t="shared" ref="E56:E61" si="19">SUM(F56:P56)</f>
        <v>0</v>
      </c>
      <c r="F56" s="9"/>
      <c r="G56" s="9"/>
      <c r="H56" s="9"/>
      <c r="I56" s="9"/>
      <c r="J56" s="9"/>
      <c r="K56" s="9"/>
      <c r="L56" s="9"/>
      <c r="M56" s="9"/>
      <c r="N56" s="9"/>
      <c r="O56" s="9"/>
      <c r="P56" s="566"/>
      <c r="Q56" s="325"/>
      <c r="R56" s="325"/>
      <c r="S56" s="325"/>
      <c r="T56" s="325"/>
      <c r="U56" s="325"/>
      <c r="V56" s="325"/>
      <c r="W56" s="325"/>
      <c r="X56" s="325"/>
      <c r="Y56" s="325"/>
      <c r="Z56" s="325"/>
      <c r="AA56" s="325"/>
      <c r="AB56" s="325"/>
      <c r="AC56" s="325"/>
      <c r="AD56" s="325"/>
      <c r="AE56" s="325"/>
      <c r="AF56" s="325"/>
      <c r="AG56" s="325"/>
      <c r="AH56" s="325"/>
      <c r="AI56" s="325"/>
      <c r="AJ56" s="325"/>
      <c r="AK56" s="325"/>
      <c r="AL56" s="325"/>
      <c r="AM56" s="325"/>
    </row>
    <row r="57" spans="1:39">
      <c r="A57" s="173"/>
      <c r="B57" s="682">
        <v>6.2</v>
      </c>
      <c r="C57" s="579"/>
      <c r="D57" s="649"/>
      <c r="E57" s="3">
        <f t="shared" si="19"/>
        <v>0</v>
      </c>
      <c r="F57" s="10"/>
      <c r="G57" s="10"/>
      <c r="H57" s="10"/>
      <c r="I57" s="10"/>
      <c r="J57" s="10"/>
      <c r="K57" s="10"/>
      <c r="L57" s="10"/>
      <c r="M57" s="10"/>
      <c r="N57" s="10"/>
      <c r="O57" s="10"/>
      <c r="P57" s="567"/>
      <c r="Q57" s="325"/>
      <c r="R57" s="325"/>
      <c r="S57" s="325"/>
      <c r="T57" s="325"/>
      <c r="U57" s="325"/>
      <c r="V57" s="325"/>
      <c r="W57" s="325"/>
      <c r="X57" s="325"/>
      <c r="Y57" s="325"/>
      <c r="Z57" s="325"/>
      <c r="AA57" s="325"/>
      <c r="AB57" s="325"/>
      <c r="AC57" s="325"/>
      <c r="AD57" s="325"/>
      <c r="AE57" s="325"/>
      <c r="AF57" s="325"/>
      <c r="AG57" s="325"/>
      <c r="AH57" s="325"/>
      <c r="AI57" s="325"/>
      <c r="AJ57" s="325"/>
      <c r="AK57" s="325"/>
      <c r="AL57" s="325"/>
      <c r="AM57" s="325"/>
    </row>
    <row r="58" spans="1:39">
      <c r="A58" s="173"/>
      <c r="B58" s="682">
        <v>6.3</v>
      </c>
      <c r="C58" s="579"/>
      <c r="D58" s="649"/>
      <c r="E58" s="3">
        <f t="shared" si="19"/>
        <v>0</v>
      </c>
      <c r="F58" s="10"/>
      <c r="G58" s="10"/>
      <c r="H58" s="10"/>
      <c r="I58" s="10"/>
      <c r="J58" s="10"/>
      <c r="K58" s="10"/>
      <c r="L58" s="10"/>
      <c r="M58" s="10"/>
      <c r="N58" s="10"/>
      <c r="O58" s="10"/>
      <c r="P58" s="567"/>
      <c r="Q58" s="325"/>
      <c r="R58" s="325"/>
      <c r="S58" s="325"/>
      <c r="T58" s="325"/>
      <c r="U58" s="325"/>
      <c r="V58" s="325"/>
      <c r="W58" s="325"/>
      <c r="X58" s="325"/>
      <c r="Y58" s="325"/>
      <c r="Z58" s="325"/>
      <c r="AA58" s="325"/>
      <c r="AB58" s="325"/>
      <c r="AC58" s="325"/>
      <c r="AD58" s="325"/>
      <c r="AE58" s="325"/>
      <c r="AF58" s="325"/>
      <c r="AG58" s="325"/>
      <c r="AH58" s="325"/>
      <c r="AI58" s="325"/>
      <c r="AJ58" s="325"/>
      <c r="AK58" s="325"/>
      <c r="AL58" s="325"/>
      <c r="AM58" s="325"/>
    </row>
    <row r="59" spans="1:39">
      <c r="A59" s="173"/>
      <c r="B59" s="682">
        <v>6.4</v>
      </c>
      <c r="C59" s="579"/>
      <c r="D59" s="649"/>
      <c r="E59" s="3">
        <f t="shared" si="19"/>
        <v>0</v>
      </c>
      <c r="F59" s="10"/>
      <c r="G59" s="10"/>
      <c r="H59" s="10"/>
      <c r="I59" s="10"/>
      <c r="J59" s="10"/>
      <c r="K59" s="10"/>
      <c r="L59" s="10"/>
      <c r="M59" s="10"/>
      <c r="N59" s="10"/>
      <c r="O59" s="10"/>
      <c r="P59" s="567"/>
      <c r="Q59" s="325"/>
      <c r="R59" s="325"/>
      <c r="S59" s="325"/>
      <c r="T59" s="325"/>
      <c r="U59" s="325"/>
      <c r="V59" s="325"/>
      <c r="W59" s="325"/>
      <c r="X59" s="325"/>
      <c r="Y59" s="325"/>
      <c r="Z59" s="325"/>
      <c r="AA59" s="325"/>
      <c r="AB59" s="325"/>
      <c r="AC59" s="325"/>
      <c r="AD59" s="325"/>
      <c r="AE59" s="325"/>
      <c r="AF59" s="325"/>
      <c r="AG59" s="325"/>
      <c r="AH59" s="325"/>
      <c r="AI59" s="325"/>
      <c r="AJ59" s="325"/>
      <c r="AK59" s="325"/>
      <c r="AL59" s="325"/>
      <c r="AM59" s="325"/>
    </row>
    <row r="60" spans="1:39">
      <c r="A60" s="173"/>
      <c r="B60" s="682">
        <v>6.5</v>
      </c>
      <c r="C60" s="579"/>
      <c r="D60" s="649"/>
      <c r="E60" s="3">
        <f t="shared" si="19"/>
        <v>0</v>
      </c>
      <c r="F60" s="10"/>
      <c r="G60" s="10"/>
      <c r="H60" s="10"/>
      <c r="I60" s="10"/>
      <c r="J60" s="10"/>
      <c r="K60" s="10"/>
      <c r="L60" s="10"/>
      <c r="M60" s="10"/>
      <c r="N60" s="10"/>
      <c r="O60" s="10"/>
      <c r="P60" s="567"/>
      <c r="Q60" s="325"/>
      <c r="R60" s="325"/>
      <c r="S60" s="325"/>
      <c r="T60" s="325"/>
      <c r="U60" s="325"/>
      <c r="V60" s="325"/>
      <c r="W60" s="325"/>
      <c r="X60" s="325"/>
      <c r="Y60" s="325"/>
      <c r="Z60" s="325"/>
      <c r="AA60" s="325"/>
      <c r="AB60" s="325"/>
      <c r="AC60" s="325"/>
      <c r="AD60" s="325"/>
      <c r="AE60" s="325"/>
      <c r="AF60" s="325"/>
      <c r="AG60" s="325"/>
      <c r="AH60" s="325"/>
      <c r="AI60" s="325"/>
      <c r="AJ60" s="325"/>
      <c r="AK60" s="325"/>
      <c r="AL60" s="325"/>
      <c r="AM60" s="325"/>
    </row>
    <row r="61" spans="1:39">
      <c r="A61" s="173"/>
      <c r="B61" s="682">
        <v>6.6</v>
      </c>
      <c r="C61" s="579"/>
      <c r="D61" s="649"/>
      <c r="E61" s="3">
        <f t="shared" si="19"/>
        <v>0</v>
      </c>
      <c r="F61" s="10"/>
      <c r="G61" s="10"/>
      <c r="H61" s="10"/>
      <c r="I61" s="10"/>
      <c r="J61" s="10"/>
      <c r="K61" s="10"/>
      <c r="L61" s="10"/>
      <c r="M61" s="10"/>
      <c r="N61" s="10"/>
      <c r="O61" s="10"/>
      <c r="P61" s="567"/>
      <c r="Q61" s="325"/>
      <c r="R61" s="325"/>
      <c r="S61" s="325"/>
      <c r="T61" s="325"/>
      <c r="U61" s="325"/>
      <c r="V61" s="325"/>
      <c r="W61" s="325"/>
      <c r="X61" s="325"/>
      <c r="Y61" s="325"/>
      <c r="Z61" s="325"/>
      <c r="AA61" s="325"/>
      <c r="AB61" s="325"/>
      <c r="AC61" s="325"/>
      <c r="AD61" s="325"/>
      <c r="AE61" s="325"/>
      <c r="AF61" s="325"/>
      <c r="AG61" s="325"/>
      <c r="AH61" s="325"/>
      <c r="AI61" s="325"/>
      <c r="AJ61" s="325"/>
      <c r="AK61" s="325"/>
      <c r="AL61" s="325"/>
      <c r="AM61" s="325"/>
    </row>
    <row r="62" spans="1:39" ht="14" thickBot="1">
      <c r="A62" s="320" t="str">
        <f>$A$17</f>
        <v>Total</v>
      </c>
      <c r="B62" s="607"/>
      <c r="C62" s="606" t="str">
        <f>"Subtask No. "&amp;A55</f>
        <v>Subtask No. 6</v>
      </c>
      <c r="D62" s="643"/>
      <c r="E62" s="5">
        <f t="shared" ref="E62:K62" si="20">SUM(E56:E61)</f>
        <v>0</v>
      </c>
      <c r="F62" s="4">
        <f t="shared" si="20"/>
        <v>0</v>
      </c>
      <c r="G62" s="612">
        <f t="shared" si="20"/>
        <v>0</v>
      </c>
      <c r="H62" s="612">
        <f t="shared" si="20"/>
        <v>0</v>
      </c>
      <c r="I62" s="612">
        <f t="shared" si="20"/>
        <v>0</v>
      </c>
      <c r="J62" s="612">
        <f t="shared" si="20"/>
        <v>0</v>
      </c>
      <c r="K62" s="612">
        <f t="shared" si="20"/>
        <v>0</v>
      </c>
      <c r="L62" s="612">
        <f t="shared" ref="L62:P62" si="21">SUM(L56:L61)</f>
        <v>0</v>
      </c>
      <c r="M62" s="612">
        <f t="shared" si="21"/>
        <v>0</v>
      </c>
      <c r="N62" s="612">
        <f t="shared" si="21"/>
        <v>0</v>
      </c>
      <c r="O62" s="612">
        <f t="shared" si="21"/>
        <v>0</v>
      </c>
      <c r="P62" s="611">
        <f t="shared" si="21"/>
        <v>0</v>
      </c>
      <c r="Q62" s="325"/>
      <c r="R62" s="325"/>
      <c r="S62" s="325"/>
      <c r="T62" s="325"/>
      <c r="U62" s="325"/>
      <c r="V62" s="325"/>
      <c r="W62" s="325"/>
      <c r="X62" s="325"/>
      <c r="Y62" s="325"/>
      <c r="Z62" s="325"/>
      <c r="AA62" s="325"/>
      <c r="AB62" s="325"/>
      <c r="AC62" s="325"/>
      <c r="AD62" s="325"/>
      <c r="AE62" s="325"/>
      <c r="AF62" s="325"/>
      <c r="AG62" s="325"/>
      <c r="AH62" s="325"/>
      <c r="AI62" s="325"/>
      <c r="AJ62" s="325"/>
      <c r="AK62" s="325"/>
      <c r="AL62" s="325"/>
      <c r="AM62" s="325"/>
    </row>
    <row r="63" spans="1:39" ht="15" thickTop="1" thickBot="1">
      <c r="A63" s="327"/>
      <c r="B63" s="175"/>
      <c r="C63" s="324"/>
      <c r="D63" s="644"/>
      <c r="E63" s="2"/>
      <c r="F63" s="310"/>
      <c r="G63" s="310"/>
      <c r="H63" s="310"/>
      <c r="I63" s="310"/>
      <c r="J63" s="310"/>
      <c r="K63" s="310"/>
      <c r="L63" s="310"/>
      <c r="M63" s="310"/>
      <c r="N63" s="310"/>
      <c r="O63" s="310"/>
      <c r="P63" s="569"/>
      <c r="Q63" s="325"/>
      <c r="R63" s="325"/>
      <c r="S63" s="325"/>
      <c r="T63" s="325"/>
      <c r="U63" s="325"/>
      <c r="V63" s="325"/>
      <c r="W63" s="325"/>
      <c r="X63" s="325"/>
      <c r="Y63" s="325"/>
      <c r="Z63" s="325"/>
      <c r="AA63" s="325"/>
      <c r="AB63" s="325"/>
      <c r="AC63" s="325"/>
      <c r="AD63" s="325"/>
      <c r="AE63" s="325"/>
      <c r="AF63" s="325"/>
      <c r="AG63" s="325"/>
      <c r="AH63" s="325"/>
      <c r="AI63" s="325"/>
      <c r="AJ63" s="325"/>
      <c r="AK63" s="325"/>
      <c r="AL63" s="325"/>
      <c r="AM63" s="325"/>
    </row>
    <row r="64" spans="1:39" ht="16" thickTop="1" thickBot="1">
      <c r="A64" s="697">
        <v>7</v>
      </c>
      <c r="B64" s="696"/>
      <c r="C64" s="317" t="str">
        <f>VLOOKUP($C71,'Task Order Setup'!$A$1:$C$23,3, FALSE)</f>
        <v>.</v>
      </c>
      <c r="D64" s="642"/>
      <c r="E64" s="174"/>
      <c r="F64" s="326"/>
      <c r="G64" s="326"/>
      <c r="H64" s="326"/>
      <c r="I64" s="326"/>
      <c r="J64" s="326"/>
      <c r="K64" s="326"/>
      <c r="L64" s="326"/>
      <c r="M64" s="326"/>
      <c r="N64" s="326"/>
      <c r="O64" s="326"/>
      <c r="P64" s="570"/>
      <c r="Q64" s="325"/>
      <c r="R64" s="325"/>
      <c r="S64" s="325"/>
      <c r="T64" s="325"/>
      <c r="U64" s="325"/>
      <c r="V64" s="325"/>
      <c r="W64" s="325"/>
      <c r="X64" s="325"/>
      <c r="Y64" s="325"/>
      <c r="Z64" s="325"/>
      <c r="AA64" s="325"/>
      <c r="AB64" s="325"/>
      <c r="AC64" s="325"/>
      <c r="AD64" s="325"/>
      <c r="AE64" s="325"/>
      <c r="AF64" s="325"/>
      <c r="AG64" s="325"/>
      <c r="AH64" s="325"/>
      <c r="AI64" s="325"/>
      <c r="AJ64" s="325"/>
      <c r="AK64" s="325"/>
      <c r="AL64" s="325"/>
      <c r="AM64" s="325"/>
    </row>
    <row r="65" spans="1:39" ht="14" thickTop="1">
      <c r="A65" s="46"/>
      <c r="B65" s="681">
        <v>7.1</v>
      </c>
      <c r="C65" s="580"/>
      <c r="D65" s="649"/>
      <c r="E65" s="667">
        <f t="shared" ref="E65:E70" si="22">SUM(F65:P65)</f>
        <v>0</v>
      </c>
      <c r="F65" s="668"/>
      <c r="G65" s="668"/>
      <c r="H65" s="668"/>
      <c r="I65" s="668"/>
      <c r="J65" s="668"/>
      <c r="K65" s="668"/>
      <c r="L65" s="668"/>
      <c r="M65" s="668"/>
      <c r="N65" s="668"/>
      <c r="O65" s="668"/>
      <c r="P65" s="670"/>
      <c r="Q65" s="325"/>
      <c r="R65" s="325"/>
      <c r="S65" s="325"/>
      <c r="T65" s="325"/>
      <c r="U65" s="325"/>
      <c r="V65" s="325"/>
      <c r="W65" s="325"/>
      <c r="X65" s="325"/>
      <c r="Y65" s="325"/>
      <c r="Z65" s="325"/>
      <c r="AA65" s="325"/>
      <c r="AB65" s="325"/>
      <c r="AC65" s="325"/>
      <c r="AD65" s="325"/>
      <c r="AE65" s="325"/>
      <c r="AF65" s="325"/>
      <c r="AG65" s="325"/>
      <c r="AH65" s="325"/>
      <c r="AI65" s="325"/>
      <c r="AJ65" s="325"/>
      <c r="AK65" s="325"/>
      <c r="AL65" s="325"/>
      <c r="AM65" s="325"/>
    </row>
    <row r="66" spans="1:39">
      <c r="A66" s="173"/>
      <c r="B66" s="681">
        <v>7.2</v>
      </c>
      <c r="C66" s="579"/>
      <c r="D66" s="649"/>
      <c r="E66" s="667">
        <f t="shared" si="22"/>
        <v>0</v>
      </c>
      <c r="F66" s="669"/>
      <c r="G66" s="669"/>
      <c r="H66" s="669"/>
      <c r="I66" s="669"/>
      <c r="J66" s="669"/>
      <c r="K66" s="669"/>
      <c r="L66" s="669"/>
      <c r="M66" s="669"/>
      <c r="N66" s="669"/>
      <c r="O66" s="669"/>
      <c r="P66" s="671"/>
      <c r="Q66" s="325"/>
      <c r="R66" s="325"/>
      <c r="S66" s="325"/>
      <c r="T66" s="325"/>
      <c r="U66" s="325"/>
      <c r="V66" s="325"/>
      <c r="W66" s="325"/>
      <c r="X66" s="325"/>
      <c r="Y66" s="325"/>
      <c r="Z66" s="325"/>
      <c r="AA66" s="325"/>
      <c r="AB66" s="325"/>
      <c r="AC66" s="325"/>
      <c r="AD66" s="325"/>
      <c r="AE66" s="325"/>
      <c r="AF66" s="325"/>
      <c r="AG66" s="325"/>
      <c r="AH66" s="325"/>
      <c r="AI66" s="325"/>
      <c r="AJ66" s="325"/>
      <c r="AK66" s="325"/>
      <c r="AL66" s="325"/>
      <c r="AM66" s="325"/>
    </row>
    <row r="67" spans="1:39">
      <c r="A67" s="173"/>
      <c r="B67" s="681">
        <v>7.3</v>
      </c>
      <c r="C67" s="579"/>
      <c r="D67" s="649"/>
      <c r="E67" s="667">
        <f t="shared" si="22"/>
        <v>0</v>
      </c>
      <c r="F67" s="669"/>
      <c r="G67" s="669"/>
      <c r="H67" s="669"/>
      <c r="I67" s="669"/>
      <c r="J67" s="669"/>
      <c r="K67" s="669"/>
      <c r="L67" s="669"/>
      <c r="M67" s="669"/>
      <c r="N67" s="669"/>
      <c r="O67" s="669"/>
      <c r="P67" s="671"/>
      <c r="Q67" s="325"/>
      <c r="R67" s="325"/>
      <c r="S67" s="325"/>
      <c r="T67" s="325"/>
      <c r="U67" s="325"/>
      <c r="V67" s="325"/>
      <c r="W67" s="325"/>
      <c r="X67" s="325"/>
      <c r="Y67" s="325"/>
      <c r="Z67" s="325"/>
      <c r="AA67" s="325"/>
      <c r="AB67" s="325"/>
      <c r="AC67" s="325"/>
      <c r="AD67" s="325"/>
      <c r="AE67" s="325"/>
      <c r="AF67" s="325"/>
      <c r="AG67" s="325"/>
      <c r="AH67" s="325"/>
      <c r="AI67" s="325"/>
      <c r="AJ67" s="325"/>
      <c r="AK67" s="325"/>
      <c r="AL67" s="325"/>
      <c r="AM67" s="325"/>
    </row>
    <row r="68" spans="1:39">
      <c r="A68" s="173"/>
      <c r="B68" s="681">
        <v>7.4</v>
      </c>
      <c r="C68" s="579"/>
      <c r="D68" s="649"/>
      <c r="E68" s="667">
        <f t="shared" si="22"/>
        <v>0</v>
      </c>
      <c r="F68" s="669"/>
      <c r="G68" s="669"/>
      <c r="H68" s="669"/>
      <c r="I68" s="669"/>
      <c r="J68" s="669"/>
      <c r="K68" s="669"/>
      <c r="L68" s="669"/>
      <c r="M68" s="669"/>
      <c r="N68" s="669"/>
      <c r="O68" s="669"/>
      <c r="P68" s="671"/>
      <c r="Q68" s="325"/>
      <c r="R68" s="325"/>
      <c r="S68" s="325"/>
      <c r="T68" s="325"/>
      <c r="U68" s="325"/>
      <c r="V68" s="325"/>
      <c r="W68" s="325"/>
      <c r="X68" s="325"/>
      <c r="Y68" s="325"/>
      <c r="Z68" s="325"/>
      <c r="AA68" s="325"/>
      <c r="AB68" s="325"/>
      <c r="AC68" s="325"/>
      <c r="AD68" s="325"/>
      <c r="AE68" s="325"/>
      <c r="AF68" s="325"/>
      <c r="AG68" s="325"/>
      <c r="AH68" s="325"/>
      <c r="AI68" s="325"/>
      <c r="AJ68" s="325"/>
      <c r="AK68" s="325"/>
      <c r="AL68" s="325"/>
      <c r="AM68" s="325"/>
    </row>
    <row r="69" spans="1:39">
      <c r="A69" s="173"/>
      <c r="B69" s="681">
        <v>7.5</v>
      </c>
      <c r="C69" s="579"/>
      <c r="D69" s="649"/>
      <c r="E69" s="667">
        <f t="shared" si="22"/>
        <v>0</v>
      </c>
      <c r="F69" s="669"/>
      <c r="G69" s="669"/>
      <c r="H69" s="669"/>
      <c r="I69" s="669"/>
      <c r="J69" s="669"/>
      <c r="K69" s="669"/>
      <c r="L69" s="669"/>
      <c r="M69" s="669"/>
      <c r="N69" s="669"/>
      <c r="O69" s="669"/>
      <c r="P69" s="671"/>
      <c r="Q69" s="325"/>
      <c r="R69" s="325"/>
      <c r="S69" s="325"/>
      <c r="T69" s="325"/>
      <c r="U69" s="325"/>
      <c r="V69" s="325"/>
      <c r="W69" s="325"/>
      <c r="X69" s="325"/>
      <c r="Y69" s="325"/>
      <c r="Z69" s="325"/>
      <c r="AA69" s="325"/>
      <c r="AB69" s="325"/>
      <c r="AC69" s="325"/>
      <c r="AD69" s="325"/>
      <c r="AE69" s="325"/>
      <c r="AF69" s="325"/>
      <c r="AG69" s="325"/>
      <c r="AH69" s="325"/>
      <c r="AI69" s="325"/>
      <c r="AJ69" s="325"/>
      <c r="AK69" s="325"/>
      <c r="AL69" s="325"/>
      <c r="AM69" s="325"/>
    </row>
    <row r="70" spans="1:39">
      <c r="A70" s="173"/>
      <c r="B70" s="681">
        <v>7.6</v>
      </c>
      <c r="C70" s="579"/>
      <c r="D70" s="649"/>
      <c r="E70" s="667">
        <f t="shared" si="22"/>
        <v>0</v>
      </c>
      <c r="F70" s="669"/>
      <c r="G70" s="669"/>
      <c r="H70" s="669"/>
      <c r="I70" s="669"/>
      <c r="J70" s="669"/>
      <c r="K70" s="669"/>
      <c r="L70" s="669"/>
      <c r="M70" s="669"/>
      <c r="N70" s="669"/>
      <c r="O70" s="669"/>
      <c r="P70" s="671"/>
      <c r="Q70" s="325"/>
      <c r="R70" s="325"/>
      <c r="S70" s="325"/>
      <c r="T70" s="325"/>
      <c r="U70" s="325"/>
      <c r="V70" s="325"/>
      <c r="W70" s="325"/>
      <c r="X70" s="325"/>
      <c r="Y70" s="325"/>
      <c r="Z70" s="325"/>
      <c r="AA70" s="325"/>
      <c r="AB70" s="325"/>
      <c r="AC70" s="325"/>
      <c r="AD70" s="325"/>
      <c r="AE70" s="325"/>
      <c r="AF70" s="325"/>
      <c r="AG70" s="325"/>
      <c r="AH70" s="325"/>
      <c r="AI70" s="325"/>
      <c r="AJ70" s="325"/>
      <c r="AK70" s="325"/>
      <c r="AL70" s="325"/>
      <c r="AM70" s="325"/>
    </row>
    <row r="71" spans="1:39" ht="14" thickBot="1">
      <c r="A71" s="320" t="str">
        <f>$A$17</f>
        <v>Total</v>
      </c>
      <c r="B71" s="607"/>
      <c r="C71" s="606" t="str">
        <f>"Subtask No. "&amp;A64</f>
        <v>Subtask No. 7</v>
      </c>
      <c r="D71" s="643"/>
      <c r="E71" s="5">
        <f t="shared" ref="E71:P71" si="23">SUM(E65:E70)</f>
        <v>0</v>
      </c>
      <c r="F71" s="4">
        <f t="shared" ref="F71:I71" si="24">SUM(F65:F70)</f>
        <v>0</v>
      </c>
      <c r="G71" s="612">
        <f t="shared" ref="G71:H71" si="25">SUM(G65:G70)</f>
        <v>0</v>
      </c>
      <c r="H71" s="612">
        <f t="shared" si="25"/>
        <v>0</v>
      </c>
      <c r="I71" s="612">
        <f t="shared" si="24"/>
        <v>0</v>
      </c>
      <c r="J71" s="612">
        <f t="shared" si="23"/>
        <v>0</v>
      </c>
      <c r="K71" s="612">
        <f t="shared" si="23"/>
        <v>0</v>
      </c>
      <c r="L71" s="612">
        <f t="shared" si="23"/>
        <v>0</v>
      </c>
      <c r="M71" s="612">
        <f t="shared" si="23"/>
        <v>0</v>
      </c>
      <c r="N71" s="612">
        <f t="shared" si="23"/>
        <v>0</v>
      </c>
      <c r="O71" s="612">
        <f t="shared" si="23"/>
        <v>0</v>
      </c>
      <c r="P71" s="611">
        <f t="shared" si="23"/>
        <v>0</v>
      </c>
      <c r="Q71" s="325"/>
      <c r="R71" s="325"/>
      <c r="S71" s="325"/>
      <c r="T71" s="325"/>
      <c r="U71" s="325"/>
      <c r="V71" s="325"/>
      <c r="W71" s="325"/>
      <c r="X71" s="325"/>
      <c r="Y71" s="325"/>
      <c r="Z71" s="325"/>
      <c r="AA71" s="325"/>
      <c r="AB71" s="325"/>
      <c r="AC71" s="325"/>
      <c r="AD71" s="325"/>
      <c r="AE71" s="325"/>
      <c r="AF71" s="325"/>
      <c r="AG71" s="325"/>
      <c r="AH71" s="325"/>
      <c r="AI71" s="325"/>
      <c r="AJ71" s="325"/>
      <c r="AK71" s="325"/>
      <c r="AL71" s="325"/>
      <c r="AM71" s="325"/>
    </row>
    <row r="72" spans="1:39" ht="15" thickTop="1" thickBot="1">
      <c r="A72" s="327"/>
      <c r="B72" s="175"/>
      <c r="C72" s="324"/>
      <c r="D72" s="644"/>
      <c r="E72" s="2"/>
      <c r="F72" s="310"/>
      <c r="G72" s="310"/>
      <c r="H72" s="310"/>
      <c r="I72" s="310"/>
      <c r="J72" s="310"/>
      <c r="K72" s="310"/>
      <c r="L72" s="310"/>
      <c r="M72" s="310"/>
      <c r="N72" s="310"/>
      <c r="O72" s="310"/>
      <c r="P72" s="569"/>
      <c r="Q72" s="325"/>
      <c r="R72" s="325"/>
      <c r="S72" s="325"/>
      <c r="T72" s="325"/>
      <c r="U72" s="325"/>
      <c r="V72" s="325"/>
      <c r="W72" s="325"/>
      <c r="X72" s="325"/>
      <c r="Y72" s="325"/>
      <c r="Z72" s="325"/>
      <c r="AA72" s="325"/>
      <c r="AB72" s="325"/>
      <c r="AC72" s="325"/>
      <c r="AD72" s="325"/>
      <c r="AE72" s="325"/>
      <c r="AF72" s="325"/>
      <c r="AG72" s="325"/>
      <c r="AH72" s="325"/>
      <c r="AI72" s="325"/>
      <c r="AJ72" s="325"/>
      <c r="AK72" s="325"/>
      <c r="AL72" s="325"/>
      <c r="AM72" s="325"/>
    </row>
    <row r="73" spans="1:39" ht="16" thickTop="1" thickBot="1">
      <c r="A73" s="697">
        <v>8</v>
      </c>
      <c r="B73" s="696"/>
      <c r="C73" s="317" t="str">
        <f>VLOOKUP($C80,'Task Order Setup'!$A$1:$C$23,3, FALSE)</f>
        <v>.</v>
      </c>
      <c r="D73" s="642"/>
      <c r="E73" s="174"/>
      <c r="F73" s="326"/>
      <c r="G73" s="326"/>
      <c r="H73" s="326"/>
      <c r="I73" s="326"/>
      <c r="J73" s="326"/>
      <c r="K73" s="326"/>
      <c r="L73" s="326"/>
      <c r="M73" s="326"/>
      <c r="N73" s="326"/>
      <c r="O73" s="326"/>
      <c r="P73" s="570"/>
      <c r="Q73" s="325"/>
      <c r="R73" s="325"/>
      <c r="S73" s="325"/>
      <c r="T73" s="325"/>
      <c r="U73" s="325"/>
      <c r="V73" s="325"/>
      <c r="W73" s="325"/>
      <c r="X73" s="325"/>
      <c r="Y73" s="325"/>
      <c r="Z73" s="325"/>
      <c r="AA73" s="325"/>
      <c r="AB73" s="325"/>
      <c r="AC73" s="325"/>
      <c r="AD73" s="325"/>
      <c r="AE73" s="325"/>
      <c r="AF73" s="325"/>
      <c r="AG73" s="325"/>
      <c r="AH73" s="325"/>
      <c r="AI73" s="325"/>
      <c r="AJ73" s="325"/>
      <c r="AK73" s="325"/>
      <c r="AL73" s="325"/>
      <c r="AM73" s="325"/>
    </row>
    <row r="74" spans="1:39" ht="14" thickTop="1">
      <c r="A74" s="46"/>
      <c r="B74" s="681">
        <v>8.1</v>
      </c>
      <c r="C74" s="580"/>
      <c r="D74" s="649"/>
      <c r="E74" s="667">
        <f t="shared" ref="E74:E79" si="26">SUM(F74:P74)</f>
        <v>0</v>
      </c>
      <c r="F74" s="668"/>
      <c r="G74" s="668"/>
      <c r="H74" s="668"/>
      <c r="I74" s="668"/>
      <c r="J74" s="668"/>
      <c r="K74" s="668"/>
      <c r="L74" s="668"/>
      <c r="M74" s="668"/>
      <c r="N74" s="668"/>
      <c r="O74" s="668"/>
      <c r="P74" s="670"/>
      <c r="Q74" s="325"/>
      <c r="R74" s="325"/>
      <c r="S74" s="325"/>
      <c r="T74" s="325"/>
      <c r="U74" s="325"/>
      <c r="V74" s="325"/>
      <c r="W74" s="325"/>
      <c r="X74" s="325"/>
      <c r="Y74" s="325"/>
      <c r="Z74" s="325"/>
      <c r="AA74" s="325"/>
      <c r="AB74" s="325"/>
      <c r="AC74" s="325"/>
      <c r="AD74" s="325"/>
      <c r="AE74" s="325"/>
      <c r="AF74" s="325"/>
      <c r="AG74" s="325"/>
      <c r="AH74" s="325"/>
      <c r="AI74" s="325"/>
      <c r="AJ74" s="325"/>
      <c r="AK74" s="325"/>
      <c r="AL74" s="325"/>
      <c r="AM74" s="325"/>
    </row>
    <row r="75" spans="1:39">
      <c r="A75" s="173"/>
      <c r="B75" s="681">
        <v>8.1999999999999993</v>
      </c>
      <c r="C75" s="579"/>
      <c r="D75" s="649"/>
      <c r="E75" s="667">
        <f t="shared" si="26"/>
        <v>0</v>
      </c>
      <c r="F75" s="669"/>
      <c r="G75" s="669"/>
      <c r="H75" s="669"/>
      <c r="I75" s="669"/>
      <c r="J75" s="669"/>
      <c r="K75" s="669"/>
      <c r="L75" s="669"/>
      <c r="M75" s="669"/>
      <c r="N75" s="669"/>
      <c r="O75" s="669"/>
      <c r="P75" s="671"/>
      <c r="Q75" s="325"/>
      <c r="R75" s="325"/>
      <c r="S75" s="325"/>
      <c r="T75" s="325"/>
      <c r="U75" s="325"/>
      <c r="V75" s="325"/>
      <c r="W75" s="325"/>
      <c r="X75" s="325"/>
      <c r="Y75" s="325"/>
      <c r="Z75" s="325"/>
      <c r="AA75" s="325"/>
      <c r="AB75" s="325"/>
      <c r="AC75" s="325"/>
      <c r="AD75" s="325"/>
      <c r="AE75" s="325"/>
      <c r="AF75" s="325"/>
      <c r="AG75" s="325"/>
      <c r="AH75" s="325"/>
      <c r="AI75" s="325"/>
      <c r="AJ75" s="325"/>
      <c r="AK75" s="325"/>
      <c r="AL75" s="325"/>
      <c r="AM75" s="325"/>
    </row>
    <row r="76" spans="1:39">
      <c r="A76" s="173"/>
      <c r="B76" s="681">
        <v>8.3000000000000007</v>
      </c>
      <c r="C76" s="579"/>
      <c r="D76" s="649"/>
      <c r="E76" s="667">
        <f t="shared" si="26"/>
        <v>0</v>
      </c>
      <c r="F76" s="669"/>
      <c r="G76" s="669"/>
      <c r="H76" s="669"/>
      <c r="I76" s="669"/>
      <c r="J76" s="669"/>
      <c r="K76" s="669"/>
      <c r="L76" s="669"/>
      <c r="M76" s="669"/>
      <c r="N76" s="669"/>
      <c r="O76" s="669"/>
      <c r="P76" s="671"/>
      <c r="Q76" s="325"/>
      <c r="R76" s="325"/>
      <c r="S76" s="325"/>
      <c r="T76" s="325"/>
      <c r="U76" s="325"/>
      <c r="V76" s="325"/>
      <c r="W76" s="325"/>
      <c r="X76" s="325"/>
      <c r="Y76" s="325"/>
      <c r="Z76" s="325"/>
      <c r="AA76" s="325"/>
      <c r="AB76" s="325"/>
      <c r="AC76" s="325"/>
      <c r="AD76" s="325"/>
      <c r="AE76" s="325"/>
      <c r="AF76" s="325"/>
      <c r="AG76" s="325"/>
      <c r="AH76" s="325"/>
      <c r="AI76" s="325"/>
      <c r="AJ76" s="325"/>
      <c r="AK76" s="325"/>
      <c r="AL76" s="325"/>
      <c r="AM76" s="325"/>
    </row>
    <row r="77" spans="1:39">
      <c r="A77" s="173"/>
      <c r="B77" s="681">
        <v>8.4</v>
      </c>
      <c r="C77" s="579"/>
      <c r="D77" s="649"/>
      <c r="E77" s="667">
        <f t="shared" si="26"/>
        <v>0</v>
      </c>
      <c r="F77" s="669"/>
      <c r="G77" s="669"/>
      <c r="H77" s="669"/>
      <c r="I77" s="669"/>
      <c r="J77" s="669"/>
      <c r="K77" s="669"/>
      <c r="L77" s="669"/>
      <c r="M77" s="669"/>
      <c r="N77" s="669"/>
      <c r="O77" s="669"/>
      <c r="P77" s="671"/>
      <c r="Q77" s="325"/>
      <c r="R77" s="325"/>
      <c r="S77" s="325"/>
      <c r="T77" s="325"/>
      <c r="U77" s="325"/>
      <c r="V77" s="325"/>
      <c r="W77" s="325"/>
      <c r="X77" s="325"/>
      <c r="Y77" s="325"/>
      <c r="Z77" s="325"/>
      <c r="AA77" s="325"/>
      <c r="AB77" s="325"/>
      <c r="AC77" s="325"/>
      <c r="AD77" s="325"/>
      <c r="AE77" s="325"/>
      <c r="AF77" s="325"/>
      <c r="AG77" s="325"/>
      <c r="AH77" s="325"/>
      <c r="AI77" s="325"/>
      <c r="AJ77" s="325"/>
      <c r="AK77" s="325"/>
      <c r="AL77" s="325"/>
      <c r="AM77" s="325"/>
    </row>
    <row r="78" spans="1:39">
      <c r="A78" s="173"/>
      <c r="B78" s="681">
        <v>8.5</v>
      </c>
      <c r="C78" s="579"/>
      <c r="D78" s="649"/>
      <c r="E78" s="667">
        <f t="shared" si="26"/>
        <v>0</v>
      </c>
      <c r="F78" s="669"/>
      <c r="G78" s="669"/>
      <c r="H78" s="669"/>
      <c r="I78" s="669"/>
      <c r="J78" s="669"/>
      <c r="K78" s="669"/>
      <c r="L78" s="669"/>
      <c r="M78" s="669"/>
      <c r="N78" s="669"/>
      <c r="O78" s="669"/>
      <c r="P78" s="671"/>
      <c r="Q78" s="325"/>
      <c r="R78" s="325"/>
      <c r="S78" s="325"/>
      <c r="T78" s="325"/>
      <c r="U78" s="325"/>
      <c r="V78" s="325"/>
      <c r="W78" s="325"/>
      <c r="X78" s="325"/>
      <c r="Y78" s="325"/>
      <c r="Z78" s="325"/>
      <c r="AA78" s="325"/>
      <c r="AB78" s="325"/>
      <c r="AC78" s="325"/>
      <c r="AD78" s="325"/>
      <c r="AE78" s="325"/>
      <c r="AF78" s="325"/>
      <c r="AG78" s="325"/>
      <c r="AH78" s="325"/>
      <c r="AI78" s="325"/>
      <c r="AJ78" s="325"/>
      <c r="AK78" s="325"/>
      <c r="AL78" s="325"/>
      <c r="AM78" s="325"/>
    </row>
    <row r="79" spans="1:39">
      <c r="A79" s="173"/>
      <c r="B79" s="681">
        <v>8.6</v>
      </c>
      <c r="C79" s="579"/>
      <c r="D79" s="649"/>
      <c r="E79" s="667">
        <f t="shared" si="26"/>
        <v>0</v>
      </c>
      <c r="F79" s="669"/>
      <c r="G79" s="669"/>
      <c r="H79" s="669"/>
      <c r="I79" s="669"/>
      <c r="J79" s="669"/>
      <c r="K79" s="669"/>
      <c r="L79" s="669"/>
      <c r="M79" s="669"/>
      <c r="N79" s="669"/>
      <c r="O79" s="669"/>
      <c r="P79" s="671"/>
      <c r="Q79" s="325"/>
      <c r="R79" s="325"/>
      <c r="S79" s="325"/>
      <c r="T79" s="325"/>
      <c r="U79" s="325"/>
      <c r="V79" s="325"/>
      <c r="W79" s="325"/>
      <c r="X79" s="325"/>
      <c r="Y79" s="325"/>
      <c r="Z79" s="325"/>
      <c r="AA79" s="325"/>
      <c r="AB79" s="325"/>
      <c r="AC79" s="325"/>
      <c r="AD79" s="325"/>
      <c r="AE79" s="325"/>
      <c r="AF79" s="325"/>
      <c r="AG79" s="325"/>
      <c r="AH79" s="325"/>
      <c r="AI79" s="325"/>
      <c r="AJ79" s="325"/>
      <c r="AK79" s="325"/>
      <c r="AL79" s="325"/>
      <c r="AM79" s="325"/>
    </row>
    <row r="80" spans="1:39" ht="14" thickBot="1">
      <c r="A80" s="320" t="str">
        <f>$A$17</f>
        <v>Total</v>
      </c>
      <c r="B80" s="607"/>
      <c r="C80" s="606" t="str">
        <f>"Subtask No. "&amp;A73</f>
        <v>Subtask No. 8</v>
      </c>
      <c r="D80" s="643"/>
      <c r="E80" s="5">
        <f t="shared" ref="E80:P80" si="27">SUM(E74:E79)</f>
        <v>0</v>
      </c>
      <c r="F80" s="4">
        <f t="shared" ref="F80:I80" si="28">SUM(F74:F79)</f>
        <v>0</v>
      </c>
      <c r="G80" s="612">
        <f t="shared" ref="G80:H80" si="29">SUM(G74:G79)</f>
        <v>0</v>
      </c>
      <c r="H80" s="612">
        <f t="shared" si="29"/>
        <v>0</v>
      </c>
      <c r="I80" s="612">
        <f t="shared" si="28"/>
        <v>0</v>
      </c>
      <c r="J80" s="612">
        <f t="shared" si="27"/>
        <v>0</v>
      </c>
      <c r="K80" s="612">
        <f t="shared" si="27"/>
        <v>0</v>
      </c>
      <c r="L80" s="612">
        <f t="shared" si="27"/>
        <v>0</v>
      </c>
      <c r="M80" s="612">
        <f t="shared" si="27"/>
        <v>0</v>
      </c>
      <c r="N80" s="612">
        <f t="shared" si="27"/>
        <v>0</v>
      </c>
      <c r="O80" s="612">
        <f t="shared" si="27"/>
        <v>0</v>
      </c>
      <c r="P80" s="611">
        <f t="shared" si="27"/>
        <v>0</v>
      </c>
      <c r="Q80" s="325"/>
      <c r="R80" s="325"/>
      <c r="S80" s="325"/>
      <c r="T80" s="325"/>
      <c r="U80" s="325"/>
      <c r="V80" s="325"/>
      <c r="W80" s="325"/>
      <c r="X80" s="325"/>
      <c r="Y80" s="325"/>
      <c r="Z80" s="325"/>
      <c r="AA80" s="325"/>
      <c r="AB80" s="325"/>
      <c r="AC80" s="325"/>
      <c r="AD80" s="325"/>
      <c r="AE80" s="325"/>
      <c r="AF80" s="325"/>
      <c r="AG80" s="325"/>
      <c r="AH80" s="325"/>
      <c r="AI80" s="325"/>
      <c r="AJ80" s="325"/>
      <c r="AK80" s="325"/>
      <c r="AL80" s="325"/>
      <c r="AM80" s="325"/>
    </row>
    <row r="81" spans="1:39" ht="15" thickTop="1" thickBot="1">
      <c r="A81" s="327"/>
      <c r="B81" s="175"/>
      <c r="C81" s="324"/>
      <c r="D81" s="644"/>
      <c r="E81" s="2"/>
      <c r="F81" s="310"/>
      <c r="G81" s="310"/>
      <c r="H81" s="310"/>
      <c r="I81" s="310"/>
      <c r="J81" s="310"/>
      <c r="K81" s="310"/>
      <c r="L81" s="310"/>
      <c r="M81" s="310"/>
      <c r="N81" s="310"/>
      <c r="O81" s="310"/>
      <c r="P81" s="569"/>
      <c r="Q81" s="325"/>
      <c r="R81" s="325"/>
      <c r="S81" s="325"/>
      <c r="T81" s="325"/>
      <c r="U81" s="325"/>
      <c r="V81" s="325"/>
      <c r="W81" s="325"/>
      <c r="X81" s="325"/>
      <c r="Y81" s="325"/>
      <c r="Z81" s="325"/>
      <c r="AA81" s="325"/>
      <c r="AB81" s="325"/>
      <c r="AC81" s="325"/>
      <c r="AD81" s="325"/>
      <c r="AE81" s="325"/>
      <c r="AF81" s="325"/>
      <c r="AG81" s="325"/>
      <c r="AH81" s="325"/>
      <c r="AI81" s="325"/>
      <c r="AJ81" s="325"/>
      <c r="AK81" s="325"/>
      <c r="AL81" s="325"/>
      <c r="AM81" s="325"/>
    </row>
    <row r="82" spans="1:39" ht="16" thickTop="1" thickBot="1">
      <c r="A82" s="697">
        <v>9</v>
      </c>
      <c r="B82" s="696"/>
      <c r="C82" s="317" t="str">
        <f>VLOOKUP($C89,'Task Order Setup'!$A$1:$C$23,3, FALSE)</f>
        <v>.</v>
      </c>
      <c r="D82" s="642"/>
      <c r="E82" s="174"/>
      <c r="F82" s="326"/>
      <c r="G82" s="326"/>
      <c r="H82" s="326"/>
      <c r="I82" s="326"/>
      <c r="J82" s="326"/>
      <c r="K82" s="326"/>
      <c r="L82" s="326"/>
      <c r="M82" s="326"/>
      <c r="N82" s="326"/>
      <c r="O82" s="326"/>
      <c r="P82" s="570"/>
      <c r="Q82" s="325"/>
      <c r="R82" s="325"/>
      <c r="S82" s="325"/>
      <c r="T82" s="325"/>
      <c r="U82" s="325"/>
      <c r="V82" s="325"/>
      <c r="W82" s="325"/>
      <c r="X82" s="325"/>
      <c r="Y82" s="325"/>
      <c r="Z82" s="325"/>
      <c r="AA82" s="325"/>
      <c r="AB82" s="325"/>
      <c r="AC82" s="325"/>
      <c r="AD82" s="325"/>
      <c r="AE82" s="325"/>
      <c r="AF82" s="325"/>
      <c r="AG82" s="325"/>
      <c r="AH82" s="325"/>
      <c r="AI82" s="325"/>
      <c r="AJ82" s="325"/>
      <c r="AK82" s="325"/>
      <c r="AL82" s="325"/>
      <c r="AM82" s="325"/>
    </row>
    <row r="83" spans="1:39" ht="14" thickTop="1">
      <c r="A83" s="46"/>
      <c r="B83" s="681">
        <v>9.1</v>
      </c>
      <c r="C83" s="580"/>
      <c r="D83" s="649"/>
      <c r="E83" s="667">
        <f t="shared" ref="E83:E88" si="30">SUM(F83:P83)</f>
        <v>0</v>
      </c>
      <c r="F83" s="668"/>
      <c r="G83" s="668"/>
      <c r="H83" s="668"/>
      <c r="I83" s="668"/>
      <c r="J83" s="668"/>
      <c r="K83" s="668"/>
      <c r="L83" s="668"/>
      <c r="M83" s="668"/>
      <c r="N83" s="668"/>
      <c r="O83" s="668"/>
      <c r="P83" s="670"/>
      <c r="Q83" s="325"/>
      <c r="R83" s="325"/>
      <c r="S83" s="325"/>
      <c r="T83" s="325"/>
      <c r="U83" s="325"/>
      <c r="V83" s="325"/>
      <c r="W83" s="325"/>
      <c r="X83" s="325"/>
      <c r="Y83" s="325"/>
      <c r="Z83" s="325"/>
      <c r="AA83" s="325"/>
      <c r="AB83" s="325"/>
      <c r="AC83" s="325"/>
      <c r="AD83" s="325"/>
      <c r="AE83" s="325"/>
      <c r="AF83" s="325"/>
      <c r="AG83" s="325"/>
      <c r="AH83" s="325"/>
      <c r="AI83" s="325"/>
      <c r="AJ83" s="325"/>
      <c r="AK83" s="325"/>
      <c r="AL83" s="325"/>
      <c r="AM83" s="325"/>
    </row>
    <row r="84" spans="1:39">
      <c r="A84" s="173"/>
      <c r="B84" s="681">
        <v>9.1999999999999993</v>
      </c>
      <c r="C84" s="579"/>
      <c r="D84" s="649"/>
      <c r="E84" s="667">
        <f t="shared" si="30"/>
        <v>0</v>
      </c>
      <c r="F84" s="669"/>
      <c r="G84" s="669"/>
      <c r="H84" s="669"/>
      <c r="I84" s="669"/>
      <c r="J84" s="669"/>
      <c r="K84" s="669"/>
      <c r="L84" s="669"/>
      <c r="M84" s="669"/>
      <c r="N84" s="669"/>
      <c r="O84" s="669"/>
      <c r="P84" s="671"/>
      <c r="Q84" s="325"/>
      <c r="R84" s="325"/>
      <c r="S84" s="325"/>
      <c r="T84" s="325"/>
      <c r="U84" s="325"/>
      <c r="V84" s="325"/>
      <c r="W84" s="325"/>
      <c r="X84" s="325"/>
      <c r="Y84" s="325"/>
      <c r="Z84" s="325"/>
      <c r="AA84" s="325"/>
      <c r="AB84" s="325"/>
      <c r="AC84" s="325"/>
      <c r="AD84" s="325"/>
      <c r="AE84" s="325"/>
      <c r="AF84" s="325"/>
      <c r="AG84" s="325"/>
      <c r="AH84" s="325"/>
      <c r="AI84" s="325"/>
      <c r="AJ84" s="325"/>
      <c r="AK84" s="325"/>
      <c r="AL84" s="325"/>
      <c r="AM84" s="325"/>
    </row>
    <row r="85" spans="1:39">
      <c r="A85" s="173"/>
      <c r="B85" s="681">
        <v>9.3000000000000007</v>
      </c>
      <c r="C85" s="579"/>
      <c r="D85" s="649"/>
      <c r="E85" s="667">
        <f t="shared" si="30"/>
        <v>0</v>
      </c>
      <c r="F85" s="669"/>
      <c r="G85" s="669"/>
      <c r="H85" s="669"/>
      <c r="I85" s="669"/>
      <c r="J85" s="669"/>
      <c r="K85" s="669"/>
      <c r="L85" s="669"/>
      <c r="M85" s="669"/>
      <c r="N85" s="669"/>
      <c r="O85" s="669"/>
      <c r="P85" s="671"/>
      <c r="Q85" s="325"/>
      <c r="R85" s="325"/>
      <c r="S85" s="325"/>
      <c r="T85" s="325"/>
      <c r="U85" s="325"/>
      <c r="V85" s="325"/>
      <c r="W85" s="325"/>
      <c r="X85" s="325"/>
      <c r="Y85" s="325"/>
      <c r="Z85" s="325"/>
      <c r="AA85" s="325"/>
      <c r="AB85" s="325"/>
      <c r="AC85" s="325"/>
      <c r="AD85" s="325"/>
      <c r="AE85" s="325"/>
      <c r="AF85" s="325"/>
      <c r="AG85" s="325"/>
      <c r="AH85" s="325"/>
      <c r="AI85" s="325"/>
      <c r="AJ85" s="325"/>
      <c r="AK85" s="325"/>
      <c r="AL85" s="325"/>
      <c r="AM85" s="325"/>
    </row>
    <row r="86" spans="1:39">
      <c r="A86" s="173"/>
      <c r="B86" s="681">
        <v>9.4</v>
      </c>
      <c r="C86" s="579"/>
      <c r="D86" s="649"/>
      <c r="E86" s="667">
        <f t="shared" si="30"/>
        <v>0</v>
      </c>
      <c r="F86" s="669"/>
      <c r="G86" s="669"/>
      <c r="H86" s="669"/>
      <c r="I86" s="669"/>
      <c r="J86" s="669"/>
      <c r="K86" s="669"/>
      <c r="L86" s="669"/>
      <c r="M86" s="669"/>
      <c r="N86" s="669"/>
      <c r="O86" s="669"/>
      <c r="P86" s="671"/>
      <c r="Q86" s="325"/>
      <c r="R86" s="325"/>
      <c r="S86" s="325"/>
      <c r="T86" s="325"/>
      <c r="U86" s="325"/>
      <c r="V86" s="325"/>
      <c r="W86" s="325"/>
      <c r="X86" s="325"/>
      <c r="Y86" s="325"/>
      <c r="Z86" s="325"/>
      <c r="AA86" s="325"/>
      <c r="AB86" s="325"/>
      <c r="AC86" s="325"/>
      <c r="AD86" s="325"/>
      <c r="AE86" s="325"/>
      <c r="AF86" s="325"/>
      <c r="AG86" s="325"/>
      <c r="AH86" s="325"/>
      <c r="AI86" s="325"/>
      <c r="AJ86" s="325"/>
      <c r="AK86" s="325"/>
      <c r="AL86" s="325"/>
      <c r="AM86" s="325"/>
    </row>
    <row r="87" spans="1:39">
      <c r="A87" s="173"/>
      <c r="B87" s="681">
        <v>9.5</v>
      </c>
      <c r="C87" s="579"/>
      <c r="D87" s="649"/>
      <c r="E87" s="667">
        <f t="shared" si="30"/>
        <v>0</v>
      </c>
      <c r="F87" s="669"/>
      <c r="G87" s="669"/>
      <c r="H87" s="669"/>
      <c r="I87" s="669"/>
      <c r="J87" s="669"/>
      <c r="K87" s="669"/>
      <c r="L87" s="669"/>
      <c r="M87" s="669"/>
      <c r="N87" s="669"/>
      <c r="O87" s="669"/>
      <c r="P87" s="671"/>
      <c r="Q87" s="325"/>
      <c r="R87" s="325"/>
      <c r="S87" s="325"/>
      <c r="T87" s="325"/>
      <c r="U87" s="325"/>
      <c r="V87" s="325"/>
      <c r="W87" s="325"/>
      <c r="X87" s="325"/>
      <c r="Y87" s="325"/>
      <c r="Z87" s="325"/>
      <c r="AA87" s="325"/>
      <c r="AB87" s="325"/>
      <c r="AC87" s="325"/>
      <c r="AD87" s="325"/>
      <c r="AE87" s="325"/>
      <c r="AF87" s="325"/>
      <c r="AG87" s="325"/>
      <c r="AH87" s="325"/>
      <c r="AI87" s="325"/>
      <c r="AJ87" s="325"/>
      <c r="AK87" s="325"/>
      <c r="AL87" s="325"/>
      <c r="AM87" s="325"/>
    </row>
    <row r="88" spans="1:39">
      <c r="A88" s="173"/>
      <c r="B88" s="681">
        <v>9.6</v>
      </c>
      <c r="C88" s="579"/>
      <c r="D88" s="649"/>
      <c r="E88" s="667">
        <f t="shared" si="30"/>
        <v>0</v>
      </c>
      <c r="F88" s="669"/>
      <c r="G88" s="669"/>
      <c r="H88" s="669"/>
      <c r="I88" s="669"/>
      <c r="J88" s="669"/>
      <c r="K88" s="669"/>
      <c r="L88" s="669"/>
      <c r="M88" s="669"/>
      <c r="N88" s="669"/>
      <c r="O88" s="669"/>
      <c r="P88" s="671"/>
      <c r="Q88" s="325"/>
      <c r="R88" s="325"/>
      <c r="S88" s="325"/>
      <c r="T88" s="325"/>
      <c r="U88" s="325"/>
      <c r="V88" s="325"/>
      <c r="W88" s="325"/>
      <c r="X88" s="325"/>
      <c r="Y88" s="325"/>
      <c r="Z88" s="325"/>
      <c r="AA88" s="325"/>
      <c r="AB88" s="325"/>
      <c r="AC88" s="325"/>
      <c r="AD88" s="325"/>
      <c r="AE88" s="325"/>
      <c r="AF88" s="325"/>
      <c r="AG88" s="325"/>
      <c r="AH88" s="325"/>
      <c r="AI88" s="325"/>
      <c r="AJ88" s="325"/>
      <c r="AK88" s="325"/>
      <c r="AL88" s="325"/>
      <c r="AM88" s="325"/>
    </row>
    <row r="89" spans="1:39" ht="14" thickBot="1">
      <c r="A89" s="320" t="str">
        <f>$A$17</f>
        <v>Total</v>
      </c>
      <c r="B89" s="607"/>
      <c r="C89" s="606" t="str">
        <f>"Subtask No. "&amp;A82</f>
        <v>Subtask No. 9</v>
      </c>
      <c r="D89" s="643"/>
      <c r="E89" s="5">
        <f t="shared" ref="E89:P89" si="31">SUM(E83:E88)</f>
        <v>0</v>
      </c>
      <c r="F89" s="4">
        <f t="shared" ref="F89:I89" si="32">SUM(F83:F88)</f>
        <v>0</v>
      </c>
      <c r="G89" s="612">
        <f t="shared" ref="G89:H89" si="33">SUM(G83:G88)</f>
        <v>0</v>
      </c>
      <c r="H89" s="612">
        <f t="shared" si="33"/>
        <v>0</v>
      </c>
      <c r="I89" s="612">
        <f t="shared" si="32"/>
        <v>0</v>
      </c>
      <c r="J89" s="612">
        <f t="shared" si="31"/>
        <v>0</v>
      </c>
      <c r="K89" s="612">
        <f t="shared" si="31"/>
        <v>0</v>
      </c>
      <c r="L89" s="612">
        <f t="shared" si="31"/>
        <v>0</v>
      </c>
      <c r="M89" s="612">
        <f t="shared" si="31"/>
        <v>0</v>
      </c>
      <c r="N89" s="612">
        <f t="shared" si="31"/>
        <v>0</v>
      </c>
      <c r="O89" s="612">
        <f t="shared" si="31"/>
        <v>0</v>
      </c>
      <c r="P89" s="611">
        <f t="shared" si="31"/>
        <v>0</v>
      </c>
      <c r="Q89" s="325"/>
      <c r="R89" s="325"/>
      <c r="S89" s="325"/>
      <c r="T89" s="325"/>
      <c r="U89" s="325"/>
      <c r="V89" s="325"/>
      <c r="W89" s="325"/>
      <c r="X89" s="325"/>
      <c r="Y89" s="325"/>
      <c r="Z89" s="325"/>
      <c r="AA89" s="325"/>
      <c r="AB89" s="325"/>
      <c r="AC89" s="325"/>
      <c r="AD89" s="325"/>
      <c r="AE89" s="325"/>
      <c r="AF89" s="325"/>
      <c r="AG89" s="325"/>
      <c r="AH89" s="325"/>
      <c r="AI89" s="325"/>
      <c r="AJ89" s="325"/>
      <c r="AK89" s="325"/>
      <c r="AL89" s="325"/>
      <c r="AM89" s="325"/>
    </row>
    <row r="90" spans="1:39" ht="14" thickTop="1">
      <c r="A90" s="613"/>
      <c r="B90" s="614"/>
      <c r="C90" s="615"/>
      <c r="D90" s="647"/>
      <c r="E90" s="616"/>
      <c r="F90" s="310"/>
      <c r="G90" s="310"/>
      <c r="H90" s="310"/>
      <c r="I90" s="310"/>
      <c r="J90" s="310"/>
      <c r="K90" s="310"/>
      <c r="L90" s="310"/>
      <c r="M90" s="310"/>
      <c r="N90" s="310"/>
      <c r="O90" s="310"/>
      <c r="P90" s="310"/>
      <c r="Q90" s="325"/>
      <c r="R90" s="325"/>
      <c r="S90" s="325"/>
      <c r="T90" s="325"/>
      <c r="U90" s="325"/>
      <c r="V90" s="325"/>
      <c r="W90" s="325"/>
      <c r="X90" s="325"/>
      <c r="Y90" s="325"/>
      <c r="Z90" s="325"/>
      <c r="AA90" s="325"/>
      <c r="AB90" s="325"/>
      <c r="AC90" s="325"/>
      <c r="AD90" s="325"/>
      <c r="AE90" s="325"/>
      <c r="AF90" s="325"/>
      <c r="AG90" s="325"/>
      <c r="AH90" s="325"/>
      <c r="AI90" s="325"/>
      <c r="AJ90" s="325"/>
      <c r="AK90" s="325"/>
      <c r="AL90" s="325"/>
      <c r="AM90" s="325"/>
    </row>
    <row r="91" spans="1:39">
      <c r="A91" s="328"/>
      <c r="B91" s="176"/>
      <c r="C91" s="329" t="s">
        <v>75</v>
      </c>
      <c r="D91" s="329"/>
      <c r="E91" s="49">
        <f>SUM($F$91:$P$91)</f>
        <v>507</v>
      </c>
      <c r="F91" s="50">
        <f t="shared" ref="F91:P91" si="34">SUMIFS(F$1:F$90,$A$1:$A$90,$C$91)</f>
        <v>100</v>
      </c>
      <c r="G91" s="50">
        <f t="shared" si="34"/>
        <v>100</v>
      </c>
      <c r="H91" s="50">
        <f t="shared" si="34"/>
        <v>140</v>
      </c>
      <c r="I91" s="50">
        <f t="shared" si="34"/>
        <v>42</v>
      </c>
      <c r="J91" s="50">
        <f t="shared" si="34"/>
        <v>125</v>
      </c>
      <c r="K91" s="50">
        <f t="shared" si="34"/>
        <v>0</v>
      </c>
      <c r="L91" s="50">
        <f t="shared" si="34"/>
        <v>0</v>
      </c>
      <c r="M91" s="50">
        <f t="shared" si="34"/>
        <v>0</v>
      </c>
      <c r="N91" s="50">
        <f t="shared" si="34"/>
        <v>0</v>
      </c>
      <c r="O91" s="50">
        <f t="shared" si="34"/>
        <v>0</v>
      </c>
      <c r="P91" s="50">
        <f t="shared" si="34"/>
        <v>0</v>
      </c>
      <c r="Q91" s="325"/>
      <c r="R91" s="325"/>
      <c r="S91" s="325"/>
      <c r="T91" s="325"/>
      <c r="U91" s="325"/>
      <c r="V91" s="325"/>
      <c r="W91" s="325"/>
      <c r="X91" s="325"/>
      <c r="Y91" s="325"/>
      <c r="Z91" s="325"/>
      <c r="AA91" s="325"/>
      <c r="AB91" s="325"/>
      <c r="AC91" s="325"/>
      <c r="AD91" s="325"/>
      <c r="AE91" s="325"/>
      <c r="AF91" s="325"/>
      <c r="AG91" s="325"/>
      <c r="AH91" s="325"/>
      <c r="AI91" s="325"/>
      <c r="AJ91" s="325"/>
      <c r="AK91" s="325"/>
      <c r="AL91" s="325"/>
      <c r="AM91" s="325"/>
    </row>
    <row r="92" spans="1:39">
      <c r="A92" s="328"/>
      <c r="B92" s="48"/>
      <c r="C92" s="329"/>
      <c r="D92" s="329"/>
      <c r="E92" s="49"/>
      <c r="F92" s="56" t="str">
        <f t="shared" ref="F92:P92" si="35">IF(AND(F9="",F91&gt;0),"Error","OK")</f>
        <v>OK</v>
      </c>
      <c r="G92" s="56" t="str">
        <f t="shared" si="35"/>
        <v>Error</v>
      </c>
      <c r="H92" s="56" t="str">
        <f t="shared" si="35"/>
        <v>Error</v>
      </c>
      <c r="I92" s="56" t="str">
        <f t="shared" si="35"/>
        <v>OK</v>
      </c>
      <c r="J92" s="56" t="str">
        <f t="shared" si="35"/>
        <v>OK</v>
      </c>
      <c r="K92" s="56" t="str">
        <f t="shared" si="35"/>
        <v>OK</v>
      </c>
      <c r="L92" s="56" t="str">
        <f t="shared" si="35"/>
        <v>OK</v>
      </c>
      <c r="M92" s="56" t="str">
        <f t="shared" si="35"/>
        <v>OK</v>
      </c>
      <c r="N92" s="56" t="str">
        <f t="shared" si="35"/>
        <v>OK</v>
      </c>
      <c r="O92" s="56" t="str">
        <f t="shared" si="35"/>
        <v>OK</v>
      </c>
      <c r="P92" s="56" t="str">
        <f t="shared" si="35"/>
        <v>OK</v>
      </c>
      <c r="Q92" s="325"/>
      <c r="R92" s="325"/>
      <c r="S92" s="325"/>
      <c r="T92" s="325"/>
      <c r="U92" s="325"/>
      <c r="V92" s="325"/>
      <c r="W92" s="325"/>
      <c r="X92" s="325"/>
      <c r="Y92" s="325"/>
      <c r="Z92" s="325"/>
      <c r="AA92" s="325"/>
      <c r="AB92" s="325"/>
      <c r="AC92" s="325"/>
      <c r="AD92" s="325"/>
      <c r="AE92" s="325"/>
      <c r="AF92" s="325"/>
      <c r="AG92" s="325"/>
      <c r="AH92" s="325"/>
      <c r="AI92" s="325"/>
      <c r="AJ92" s="325"/>
      <c r="AK92" s="325"/>
      <c r="AL92" s="325"/>
      <c r="AM92" s="325"/>
    </row>
    <row r="93" spans="1:39">
      <c r="C93" s="331"/>
      <c r="D93" s="331"/>
      <c r="F93" s="332"/>
      <c r="G93" s="332"/>
      <c r="H93" s="332"/>
      <c r="I93" s="332"/>
      <c r="J93" s="332"/>
      <c r="K93" s="332"/>
      <c r="L93" s="332"/>
      <c r="M93" s="332"/>
      <c r="N93" s="332"/>
      <c r="O93" s="332"/>
      <c r="P93" s="332"/>
    </row>
  </sheetData>
  <mergeCells count="11">
    <mergeCell ref="A8:B8"/>
    <mergeCell ref="A9:B9"/>
    <mergeCell ref="A10:B10"/>
    <mergeCell ref="A82:B82"/>
    <mergeCell ref="A19:B19"/>
    <mergeCell ref="A28:B28"/>
    <mergeCell ref="A37:B37"/>
    <mergeCell ref="A46:B46"/>
    <mergeCell ref="A55:B55"/>
    <mergeCell ref="A64:B64"/>
    <mergeCell ref="A73:B73"/>
  </mergeCells>
  <phoneticPr fontId="3" type="noConversion"/>
  <conditionalFormatting sqref="F7:P8">
    <cfRule type="duplicateValues" dxfId="46" priority="1"/>
  </conditionalFormatting>
  <dataValidations count="2">
    <dataValidation type="list" allowBlank="1" showInputMessage="1" showErrorMessage="1" sqref="F8:P8" xr:uid="{00000000-0002-0000-0100-000000000000}">
      <formula1>INDIRECT(SUBSTITUTE(F$7," ",""))</formula1>
    </dataValidation>
    <dataValidation type="list" allowBlank="1" showInputMessage="1" showErrorMessage="1" sqref="F7:P7" xr:uid="{00000000-0002-0000-0100-000001000000}">
      <formula1>Company</formula1>
    </dataValidation>
  </dataValidations>
  <pageMargins left="0.75" right="0.75" top="1" bottom="1" header="0.5" footer="0.5"/>
  <pageSetup scale="51"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3 of 9
&amp;T  &amp;D</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0" tint="-0.14999847407452621"/>
    <pageSetUpPr fitToPage="1"/>
  </sheetPr>
  <dimension ref="A1:Z34"/>
  <sheetViews>
    <sheetView topLeftCell="A12" zoomScaleNormal="100" zoomScaleSheetLayoutView="100" zoomScalePageLayoutView="125" workbookViewId="0">
      <selection activeCell="H48" sqref="H48"/>
    </sheetView>
  </sheetViews>
  <sheetFormatPr baseColWidth="10" defaultColWidth="8.83203125" defaultRowHeight="13"/>
  <cols>
    <col min="1" max="1" width="15.1640625" style="495" customWidth="1"/>
    <col min="2" max="2" width="15.6640625" style="495" customWidth="1"/>
    <col min="3" max="3" width="9.5" style="495" customWidth="1"/>
    <col min="4" max="4" width="9.6640625" style="514" customWidth="1"/>
    <col min="5" max="5" width="10.5" style="495" customWidth="1"/>
    <col min="6" max="6" width="13.83203125" style="515" bestFit="1" customWidth="1"/>
    <col min="7" max="7" width="7.5" style="495" customWidth="1"/>
    <col min="8" max="8" width="13" style="515" customWidth="1"/>
    <col min="9" max="9" width="5.6640625" style="495" customWidth="1"/>
    <col min="10" max="10" width="13" style="515" customWidth="1"/>
    <col min="11" max="11" width="5.6640625" style="495" customWidth="1"/>
    <col min="12" max="12" width="13" style="515" customWidth="1"/>
    <col min="13" max="13" width="5.6640625" style="495" customWidth="1"/>
    <col min="14" max="14" width="13" style="515" customWidth="1"/>
    <col min="15" max="15" width="5.6640625" style="495" customWidth="1"/>
    <col min="16" max="16" width="13" style="515" customWidth="1"/>
    <col min="17" max="17" width="5.6640625" style="495" customWidth="1"/>
    <col min="18" max="18" width="13" style="515" customWidth="1"/>
    <col min="19" max="19" width="5.6640625" style="495" customWidth="1"/>
    <col min="20" max="20" width="13" style="515" customWidth="1"/>
    <col min="21" max="21" width="5.6640625" style="495" customWidth="1"/>
    <col min="22" max="22" width="13" style="515" customWidth="1"/>
    <col min="23" max="23" width="9.6640625" style="495" customWidth="1"/>
    <col min="24" max="24" width="13.5" style="495" customWidth="1"/>
    <col min="25" max="25" width="5.33203125" style="495" bestFit="1" customWidth="1"/>
    <col min="26" max="26" width="7.5" style="495" bestFit="1" customWidth="1"/>
    <col min="27" max="16384" width="8.83203125" style="495"/>
  </cols>
  <sheetData>
    <row r="1" spans="1:24" s="448" customFormat="1" ht="20">
      <c r="B1" s="447" t="str">
        <f>'Task Order Setup'!C1</f>
        <v>Task Order No. 1 Mod 0: General Consulting Services</v>
      </c>
      <c r="D1" s="449"/>
      <c r="F1" s="450"/>
      <c r="H1" s="450"/>
      <c r="J1" s="450"/>
      <c r="L1" s="450"/>
      <c r="N1" s="450"/>
      <c r="P1" s="450"/>
      <c r="R1" s="450"/>
      <c r="T1" s="450"/>
      <c r="V1" s="450"/>
    </row>
    <row r="2" spans="1:24" s="448" customFormat="1" ht="19">
      <c r="B2" s="451" t="str">
        <f>'Task Order Setup'!C2</f>
        <v>Agreement No. 47557A, Project No. 600</v>
      </c>
      <c r="D2" s="449"/>
      <c r="F2" s="450"/>
      <c r="H2" s="450"/>
      <c r="J2" s="450"/>
      <c r="L2" s="450"/>
      <c r="N2" s="450"/>
      <c r="P2" s="450"/>
      <c r="R2" s="450"/>
      <c r="T2" s="450"/>
      <c r="V2" s="450"/>
    </row>
    <row r="3" spans="1:24" s="459" customFormat="1" ht="19">
      <c r="B3" s="452" t="str">
        <f>'Task Order Setup'!C3</f>
        <v>Effective Period: 10/01/19-10/31/19</v>
      </c>
      <c r="C3" s="453"/>
      <c r="D3" s="454"/>
      <c r="E3" s="455"/>
      <c r="F3" s="455"/>
      <c r="G3" s="456"/>
      <c r="H3" s="456"/>
      <c r="I3" s="456"/>
      <c r="J3" s="456"/>
      <c r="K3" s="456"/>
      <c r="L3" s="456"/>
      <c r="M3" s="456"/>
      <c r="N3" s="456"/>
      <c r="O3" s="456"/>
      <c r="P3" s="456"/>
      <c r="Q3" s="456"/>
      <c r="R3" s="456"/>
      <c r="S3" s="456"/>
      <c r="T3" s="456"/>
      <c r="U3" s="456"/>
      <c r="V3" s="456"/>
      <c r="W3" s="457"/>
      <c r="X3" s="458"/>
    </row>
    <row r="4" spans="1:24" s="459" customFormat="1" ht="19">
      <c r="A4" s="452"/>
      <c r="B4" s="453"/>
      <c r="C4" s="453"/>
      <c r="D4" s="454"/>
      <c r="E4" s="455"/>
      <c r="F4" s="455"/>
      <c r="G4" s="456"/>
      <c r="H4" s="456"/>
      <c r="I4" s="456"/>
      <c r="J4" s="456"/>
      <c r="K4" s="456"/>
      <c r="L4" s="456"/>
      <c r="M4" s="456"/>
      <c r="N4" s="456"/>
      <c r="O4" s="456"/>
      <c r="P4" s="456"/>
      <c r="Q4" s="456"/>
      <c r="R4" s="456"/>
      <c r="S4" s="456"/>
      <c r="T4" s="456"/>
      <c r="U4" s="456"/>
      <c r="V4" s="456"/>
      <c r="W4" s="457"/>
      <c r="X4" s="458"/>
    </row>
    <row r="5" spans="1:24" s="459" customFormat="1" ht="19">
      <c r="A5" s="460" t="s">
        <v>123</v>
      </c>
      <c r="B5" s="453"/>
      <c r="C5" s="453"/>
      <c r="D5" s="454"/>
      <c r="E5" s="455"/>
      <c r="F5" s="455"/>
      <c r="G5" s="456"/>
      <c r="H5" s="456"/>
      <c r="I5" s="456"/>
      <c r="J5" s="456"/>
      <c r="K5" s="456"/>
      <c r="L5" s="456"/>
      <c r="M5" s="456"/>
      <c r="N5" s="456"/>
      <c r="O5" s="456"/>
      <c r="P5" s="456"/>
      <c r="Q5" s="456"/>
      <c r="R5" s="456"/>
      <c r="S5" s="456"/>
      <c r="T5" s="456"/>
      <c r="U5" s="456"/>
      <c r="V5" s="456"/>
      <c r="W5" s="457"/>
      <c r="X5" s="458"/>
    </row>
    <row r="6" spans="1:24" s="461" customFormat="1" ht="17" thickBot="1">
      <c r="B6" s="462"/>
      <c r="C6" s="462"/>
      <c r="D6" s="463"/>
      <c r="J6" s="464"/>
      <c r="L6" s="464"/>
      <c r="N6" s="464"/>
      <c r="P6" s="464"/>
      <c r="R6" s="464"/>
      <c r="T6" s="464"/>
      <c r="V6" s="464"/>
      <c r="W6" s="465"/>
      <c r="X6" s="466"/>
    </row>
    <row r="7" spans="1:24" s="461" customFormat="1" ht="15" customHeight="1" thickTop="1">
      <c r="A7" s="467" t="str">
        <f>'Task Order Setup'!A7</f>
        <v>Subtask No. 1</v>
      </c>
      <c r="B7" s="468" t="str">
        <f>VLOOKUP($A7,'Task Order Setup'!$A$6:$C$22,3,FALSE)</f>
        <v>Consulting Services</v>
      </c>
      <c r="C7" s="469">
        <f t="shared" ref="C7:C15" si="0">INDEX($30:$30,2*(ROW(A7)-ROW(A$7)+1)+4)</f>
        <v>32560</v>
      </c>
      <c r="D7" s="470"/>
      <c r="E7" s="471"/>
      <c r="F7" s="471"/>
      <c r="G7" s="471"/>
      <c r="H7" s="471"/>
      <c r="I7" s="471"/>
      <c r="J7" s="472"/>
      <c r="K7" s="471"/>
      <c r="L7" s="472"/>
      <c r="M7" s="471"/>
      <c r="N7" s="472"/>
      <c r="O7" s="471"/>
      <c r="P7" s="472"/>
      <c r="Q7" s="471"/>
      <c r="R7" s="472"/>
      <c r="S7" s="471"/>
      <c r="T7" s="472"/>
      <c r="U7" s="471"/>
      <c r="V7" s="472"/>
      <c r="W7" s="470"/>
      <c r="X7" s="473"/>
    </row>
    <row r="8" spans="1:24" s="461" customFormat="1" ht="15" customHeight="1">
      <c r="A8" s="474" t="str">
        <f>'Task Order Setup'!A8</f>
        <v>Subtask No. 2</v>
      </c>
      <c r="B8" s="475" t="str">
        <f>VLOOKUP($A8,'Task Order Setup'!$A$6:$C$22,3,FALSE)</f>
        <v>Monitoring Services</v>
      </c>
      <c r="C8" s="476">
        <f t="shared" si="0"/>
        <v>27060</v>
      </c>
      <c r="E8" s="465"/>
      <c r="I8" s="477"/>
      <c r="K8" s="477"/>
      <c r="M8" s="477"/>
      <c r="O8" s="477"/>
      <c r="Q8" s="477"/>
      <c r="S8" s="477"/>
      <c r="U8" s="477"/>
      <c r="W8" s="465"/>
      <c r="X8" s="478"/>
    </row>
    <row r="9" spans="1:24" s="461" customFormat="1" ht="15" customHeight="1">
      <c r="A9" s="474" t="str">
        <f>'Task Order Setup'!A9</f>
        <v>Subtask No. 3</v>
      </c>
      <c r="B9" s="475" t="str">
        <f>VLOOKUP($A9,'Task Order Setup'!$A$6:$C$22,3,FALSE)</f>
        <v>Project Management</v>
      </c>
      <c r="C9" s="476">
        <f t="shared" si="0"/>
        <v>0</v>
      </c>
      <c r="E9" s="465"/>
      <c r="I9" s="477"/>
      <c r="K9" s="477"/>
      <c r="M9" s="477"/>
      <c r="O9" s="477"/>
      <c r="Q9" s="477"/>
      <c r="S9" s="477"/>
      <c r="U9" s="477"/>
      <c r="W9" s="465"/>
      <c r="X9" s="478"/>
    </row>
    <row r="10" spans="1:24" s="461" customFormat="1" ht="15" customHeight="1">
      <c r="A10" s="474" t="str">
        <f>'Task Order Setup'!A10</f>
        <v>Subtask No. 4</v>
      </c>
      <c r="B10" s="475" t="str">
        <f>VLOOKUP($A10,'Task Order Setup'!$A$6:$C$22,3,FALSE)</f>
        <v>.</v>
      </c>
      <c r="C10" s="476">
        <f t="shared" si="0"/>
        <v>0</v>
      </c>
      <c r="E10" s="465"/>
      <c r="F10" s="479"/>
      <c r="G10" s="475"/>
      <c r="H10" s="476"/>
      <c r="I10" s="477"/>
      <c r="K10" s="477"/>
      <c r="M10" s="477"/>
      <c r="O10" s="477"/>
      <c r="Q10" s="477"/>
      <c r="S10" s="477"/>
      <c r="U10" s="477"/>
      <c r="W10" s="465"/>
      <c r="X10" s="478"/>
    </row>
    <row r="11" spans="1:24" s="461" customFormat="1" ht="15" customHeight="1">
      <c r="A11" s="474" t="str">
        <f>'Task Order Setup'!A11</f>
        <v>Subtask No. 5</v>
      </c>
      <c r="B11" s="475" t="str">
        <f>VLOOKUP($A11,'Task Order Setup'!$A$6:$C$22,3,FALSE)</f>
        <v>.</v>
      </c>
      <c r="C11" s="476">
        <f t="shared" si="0"/>
        <v>0</v>
      </c>
      <c r="E11" s="465"/>
      <c r="F11" s="479"/>
      <c r="G11" s="475"/>
      <c r="H11" s="476"/>
      <c r="I11" s="477"/>
      <c r="K11" s="477"/>
      <c r="M11" s="477"/>
      <c r="O11" s="477"/>
      <c r="Q11" s="477"/>
      <c r="S11" s="477"/>
      <c r="U11" s="477"/>
      <c r="W11" s="465"/>
      <c r="X11" s="478"/>
    </row>
    <row r="12" spans="1:24" s="461" customFormat="1" ht="15" customHeight="1">
      <c r="A12" s="474" t="str">
        <f>'Task Order Setup'!A12</f>
        <v>Subtask No. 6</v>
      </c>
      <c r="B12" s="475" t="str">
        <f>VLOOKUP($A12,'Task Order Setup'!$A$6:$C$22,3,FALSE)</f>
        <v>.</v>
      </c>
      <c r="C12" s="476">
        <f t="shared" si="0"/>
        <v>0</v>
      </c>
      <c r="E12" s="465"/>
      <c r="F12" s="479"/>
      <c r="G12" s="475"/>
      <c r="H12" s="476"/>
      <c r="I12" s="477"/>
      <c r="K12" s="477"/>
      <c r="M12" s="477"/>
      <c r="O12" s="477"/>
      <c r="Q12" s="477"/>
      <c r="S12" s="477"/>
      <c r="U12" s="477"/>
      <c r="W12" s="465"/>
      <c r="X12" s="478"/>
    </row>
    <row r="13" spans="1:24" s="461" customFormat="1" ht="15" customHeight="1">
      <c r="A13" s="474" t="str">
        <f>'Task Order Setup'!A13</f>
        <v>Subtask No. 7</v>
      </c>
      <c r="B13" s="475" t="str">
        <f>VLOOKUP($A13,'Task Order Setup'!$A$6:$C$22,3,FALSE)</f>
        <v>.</v>
      </c>
      <c r="C13" s="476">
        <f t="shared" si="0"/>
        <v>0</v>
      </c>
      <c r="E13" s="465"/>
      <c r="F13" s="479"/>
      <c r="G13" s="475"/>
      <c r="H13" s="476"/>
      <c r="I13" s="477"/>
      <c r="K13" s="477"/>
      <c r="M13" s="477"/>
      <c r="O13" s="477"/>
      <c r="Q13" s="477"/>
      <c r="S13" s="477"/>
      <c r="U13" s="477"/>
      <c r="W13" s="465"/>
      <c r="X13" s="478"/>
    </row>
    <row r="14" spans="1:24" s="461" customFormat="1" ht="15" customHeight="1">
      <c r="A14" s="474" t="str">
        <f>'Task Order Setup'!A14</f>
        <v>Subtask No. 8</v>
      </c>
      <c r="B14" s="475" t="str">
        <f>VLOOKUP($A14,'Task Order Setup'!$A$6:$C$22,3,FALSE)</f>
        <v>.</v>
      </c>
      <c r="C14" s="476">
        <f t="shared" si="0"/>
        <v>0</v>
      </c>
      <c r="E14" s="465"/>
      <c r="F14" s="479"/>
      <c r="G14" s="475"/>
      <c r="H14" s="476"/>
      <c r="I14" s="477"/>
      <c r="K14" s="477"/>
      <c r="M14" s="477"/>
      <c r="O14" s="477"/>
      <c r="Q14" s="477"/>
      <c r="S14" s="477"/>
      <c r="U14" s="477"/>
      <c r="W14" s="465"/>
      <c r="X14" s="478"/>
    </row>
    <row r="15" spans="1:24" s="461" customFormat="1" ht="15" customHeight="1">
      <c r="A15" s="474" t="str">
        <f>'Task Order Setup'!A15</f>
        <v>Subtask No. 9</v>
      </c>
      <c r="B15" s="475" t="str">
        <f>VLOOKUP($A15,'Task Order Setup'!$A$6:$C$22,3,FALSE)</f>
        <v>.</v>
      </c>
      <c r="C15" s="476">
        <f t="shared" si="0"/>
        <v>0</v>
      </c>
      <c r="E15" s="465"/>
      <c r="F15" s="479"/>
      <c r="G15" s="475"/>
      <c r="H15" s="476"/>
      <c r="I15" s="477"/>
      <c r="K15" s="477"/>
      <c r="M15" s="477"/>
      <c r="O15" s="477"/>
      <c r="Q15" s="477"/>
      <c r="S15" s="477"/>
      <c r="U15" s="477"/>
      <c r="W15" s="465"/>
      <c r="X15" s="478"/>
    </row>
    <row r="16" spans="1:24" s="461" customFormat="1" ht="15" customHeight="1" thickBot="1">
      <c r="A16" s="480"/>
      <c r="B16" s="481"/>
      <c r="C16" s="481"/>
      <c r="D16" s="482"/>
      <c r="E16" s="483"/>
      <c r="F16" s="484"/>
      <c r="G16" s="485"/>
      <c r="H16" s="486"/>
      <c r="I16" s="485"/>
      <c r="J16" s="486"/>
      <c r="K16" s="485"/>
      <c r="L16" s="486"/>
      <c r="M16" s="485"/>
      <c r="N16" s="486"/>
      <c r="O16" s="485"/>
      <c r="P16" s="486"/>
      <c r="Q16" s="485"/>
      <c r="R16" s="486"/>
      <c r="S16" s="485"/>
      <c r="T16" s="486"/>
      <c r="U16" s="485"/>
      <c r="V16" s="486"/>
      <c r="W16" s="465"/>
      <c r="X16" s="478"/>
    </row>
    <row r="17" spans="1:26" ht="15" customHeight="1" thickTop="1">
      <c r="A17" s="487"/>
      <c r="B17" s="488"/>
      <c r="C17" s="488"/>
      <c r="D17" s="489" t="s">
        <v>4</v>
      </c>
      <c r="E17" s="490" t="str">
        <f>A7</f>
        <v>Subtask No. 1</v>
      </c>
      <c r="F17" s="491"/>
      <c r="G17" s="492" t="str">
        <f>A8</f>
        <v>Subtask No. 2</v>
      </c>
      <c r="H17" s="492"/>
      <c r="I17" s="492" t="str">
        <f>A9</f>
        <v>Subtask No. 3</v>
      </c>
      <c r="J17" s="492"/>
      <c r="K17" s="492" t="str">
        <f>A10</f>
        <v>Subtask No. 4</v>
      </c>
      <c r="L17" s="492"/>
      <c r="M17" s="492" t="str">
        <f>A11</f>
        <v>Subtask No. 5</v>
      </c>
      <c r="N17" s="492"/>
      <c r="O17" s="492" t="str">
        <f>A12</f>
        <v>Subtask No. 6</v>
      </c>
      <c r="P17" s="492"/>
      <c r="Q17" s="492" t="str">
        <f>A13</f>
        <v>Subtask No. 7</v>
      </c>
      <c r="R17" s="492"/>
      <c r="S17" s="492" t="str">
        <f>A14</f>
        <v>Subtask No. 8</v>
      </c>
      <c r="T17" s="492"/>
      <c r="U17" s="492" t="str">
        <f>A15</f>
        <v>Subtask No. 9</v>
      </c>
      <c r="V17" s="492"/>
      <c r="W17" s="493" t="s">
        <v>1</v>
      </c>
      <c r="X17" s="494" t="s">
        <v>1</v>
      </c>
    </row>
    <row r="18" spans="1:26" ht="15" customHeight="1" thickBot="1">
      <c r="A18" s="636" t="s">
        <v>77</v>
      </c>
      <c r="B18" s="637" t="s">
        <v>242</v>
      </c>
      <c r="C18" s="637" t="s">
        <v>115</v>
      </c>
      <c r="D18" s="496" t="s">
        <v>3</v>
      </c>
      <c r="E18" s="497" t="s">
        <v>5</v>
      </c>
      <c r="F18" s="658" t="s">
        <v>13</v>
      </c>
      <c r="G18" s="498" t="s">
        <v>5</v>
      </c>
      <c r="H18" s="658" t="s">
        <v>13</v>
      </c>
      <c r="I18" s="498" t="s">
        <v>5</v>
      </c>
      <c r="J18" s="658" t="s">
        <v>13</v>
      </c>
      <c r="K18" s="498" t="s">
        <v>5</v>
      </c>
      <c r="L18" s="658" t="s">
        <v>13</v>
      </c>
      <c r="M18" s="498" t="s">
        <v>5</v>
      </c>
      <c r="N18" s="658" t="s">
        <v>13</v>
      </c>
      <c r="O18" s="498" t="s">
        <v>5</v>
      </c>
      <c r="P18" s="658" t="s">
        <v>13</v>
      </c>
      <c r="Q18" s="498" t="s">
        <v>5</v>
      </c>
      <c r="R18" s="658" t="s">
        <v>13</v>
      </c>
      <c r="S18" s="498" t="s">
        <v>5</v>
      </c>
      <c r="T18" s="658" t="s">
        <v>13</v>
      </c>
      <c r="U18" s="498" t="s">
        <v>5</v>
      </c>
      <c r="V18" s="658" t="s">
        <v>13</v>
      </c>
      <c r="W18" s="499" t="s">
        <v>6</v>
      </c>
      <c r="X18" s="659" t="s">
        <v>13</v>
      </c>
      <c r="Y18" s="500" t="s">
        <v>76</v>
      </c>
    </row>
    <row r="19" spans="1:26" ht="15" customHeight="1">
      <c r="A19" s="501" t="str">
        <f>'Labor Hours and Deliverables'!F7</f>
        <v>CH2M</v>
      </c>
      <c r="B19" s="502" t="str">
        <f>'Labor Hours and Deliverables'!F8</f>
        <v>Jason Smesrud</v>
      </c>
      <c r="C19" s="503" t="str">
        <f>IFERROR(IF($A19&lt;&gt;"",VLOOKUP($A19,Rates!$H$7:$I$28,2,FALSE),""),"")</f>
        <v>OBE</v>
      </c>
      <c r="D19" s="650">
        <f>IFERROR(VLOOKUP($B19,Rates!$A:$D,4,FALSE),"")</f>
        <v>280</v>
      </c>
      <c r="E19" s="504">
        <f>IFERROR(INDEX('Labor Hours and Deliverables'!$A$1:$Z$295,MATCH('Labor Costs'!E$17,'Labor Hours and Deliverables'!$C$1:$C$295,0),MATCH($B19,'Labor Hours and Deliverables'!$A$8:$Z$8,0)),0)</f>
        <v>100</v>
      </c>
      <c r="F19" s="651">
        <f t="shared" ref="F19" si="1">IFERROR(E19*$D19,"")</f>
        <v>28000</v>
      </c>
      <c r="G19" s="504">
        <f>IFERROR(INDEX('Labor Hours and Deliverables'!$A$1:$Z$295,MATCH('Labor Costs'!G$17,'Labor Hours and Deliverables'!$C$1:$C$295,0),MATCH($B19,'Labor Hours and Deliverables'!$A$8:$Z$8,0)),0)</f>
        <v>0</v>
      </c>
      <c r="H19" s="651">
        <f t="shared" ref="H19" si="2">IFERROR(G19*$D19,"")</f>
        <v>0</v>
      </c>
      <c r="I19" s="504">
        <f>IFERROR(INDEX('Labor Hours and Deliverables'!$A$1:$Z$295,MATCH('Labor Costs'!I$17,'Labor Hours and Deliverables'!$C$1:$C$295,0),MATCH($B19,'Labor Hours and Deliverables'!$A$8:$Z$8,0)),0)</f>
        <v>0</v>
      </c>
      <c r="J19" s="651">
        <f t="shared" ref="J19" si="3">IFERROR(I19*$D19,"")</f>
        <v>0</v>
      </c>
      <c r="K19" s="504">
        <f>IFERROR(INDEX('Labor Hours and Deliverables'!$A$1:$Z$295,MATCH('Labor Costs'!K$17,'Labor Hours and Deliverables'!$C$1:$C$295,0),MATCH($B19,'Labor Hours and Deliverables'!$A$8:$Z$8,0)),0)</f>
        <v>0</v>
      </c>
      <c r="L19" s="651">
        <f t="shared" ref="L19" si="4">IFERROR(K19*$D19,"")</f>
        <v>0</v>
      </c>
      <c r="M19" s="504">
        <f>IFERROR(INDEX('Labor Hours and Deliverables'!$A$1:$Z$295,MATCH('Labor Costs'!M$17,'Labor Hours and Deliverables'!$C$1:$C$295,0),MATCH($B19,'Labor Hours and Deliverables'!$A$8:$Z$8,0)),0)</f>
        <v>0</v>
      </c>
      <c r="N19" s="651">
        <f t="shared" ref="N19" si="5">IFERROR(M19*$D19,"")</f>
        <v>0</v>
      </c>
      <c r="O19" s="504">
        <f>IFERROR(INDEX('Labor Hours and Deliverables'!$A$1:$Z$295,MATCH('Labor Costs'!O$17,'Labor Hours and Deliverables'!$C$1:$C$295,0),MATCH($B19,'Labor Hours and Deliverables'!$A$8:$Z$8,0)),0)</f>
        <v>0</v>
      </c>
      <c r="P19" s="651">
        <f t="shared" ref="P19" si="6">IFERROR(O19*$D19,"")</f>
        <v>0</v>
      </c>
      <c r="Q19" s="504">
        <f>IFERROR(INDEX('Labor Hours and Deliverables'!$A$1:$Z$295,MATCH('Labor Costs'!Q$17,'Labor Hours and Deliverables'!$C$1:$C$295,0),MATCH($B19,'Labor Hours and Deliverables'!$A$8:$Z$8,0)),0)</f>
        <v>0</v>
      </c>
      <c r="R19" s="651">
        <f t="shared" ref="R19" si="7">IFERROR(Q19*$D19,"")</f>
        <v>0</v>
      </c>
      <c r="S19" s="504">
        <f>IFERROR(INDEX('Labor Hours and Deliverables'!$A$1:$Z$295,MATCH('Labor Costs'!S$17,'Labor Hours and Deliverables'!$C$1:$C$295,0),MATCH($B19,'Labor Hours and Deliverables'!$A$8:$Z$8,0)),0)</f>
        <v>0</v>
      </c>
      <c r="T19" s="651">
        <f t="shared" ref="T19" si="8">IFERROR(S19*$D19,"")</f>
        <v>0</v>
      </c>
      <c r="U19" s="504">
        <f>IFERROR(INDEX('Labor Hours and Deliverables'!$A$1:$Z$295,MATCH('Labor Costs'!U$17,'Labor Hours and Deliverables'!$C$1:$C$295,0),MATCH($B19,'Labor Hours and Deliverables'!$A$8:$Z$8,0)),0)</f>
        <v>0</v>
      </c>
      <c r="V19" s="651">
        <f t="shared" ref="V19" si="9">IFERROR(U19*$D19,"")</f>
        <v>0</v>
      </c>
      <c r="W19" s="505">
        <f t="shared" ref="W19:W29" si="10">SUMPRODUCT(E19:V19,E$33:V$33)</f>
        <v>100</v>
      </c>
      <c r="X19" s="654">
        <f t="shared" ref="X19:X29" si="11">SUMPRODUCT(E19:V19,E$34:V$34)</f>
        <v>28000</v>
      </c>
      <c r="Y19" s="506" t="str">
        <f t="shared" ref="Y19" si="12">IF(W19=Z19,"OK","Error")</f>
        <v>OK</v>
      </c>
      <c r="Z19" s="507">
        <f>'Labor Hours and Deliverables'!F91</f>
        <v>100</v>
      </c>
    </row>
    <row r="20" spans="1:26" ht="15" customHeight="1">
      <c r="A20" s="501" t="str">
        <f>'Labor Hours and Deliverables'!G7</f>
        <v>Bridgewater</v>
      </c>
      <c r="B20" s="502" t="str">
        <f>'Labor Hours and Deliverables'!G8</f>
        <v>Kent Norville</v>
      </c>
      <c r="C20" s="503" t="str">
        <f>IFERROR(IF($A20&lt;&gt;"",VLOOKUP($A20,Rates!$H$7:$I$28,2,FALSE),""),"")</f>
        <v>OBE</v>
      </c>
      <c r="D20" s="650" t="str">
        <f>IFERROR(VLOOKUP($B20,Rates!$A:$D,4,FALSE),"")</f>
        <v/>
      </c>
      <c r="E20" s="504">
        <f>IFERROR(INDEX('Labor Hours and Deliverables'!$A$1:$Z$295,MATCH('Labor Costs'!E$17,'Labor Hours and Deliverables'!$C$1:$C$295,0),MATCH($B20,'Labor Hours and Deliverables'!$A$8:$Z$8,0)),0)</f>
        <v>100</v>
      </c>
      <c r="F20" s="651" t="str">
        <f t="shared" ref="F20:F22" si="13">IFERROR(E20*$D20,"")</f>
        <v/>
      </c>
      <c r="G20" s="504">
        <f>IFERROR(INDEX('Labor Hours and Deliverables'!$A$1:$Z$295,MATCH('Labor Costs'!G$17,'Labor Hours and Deliverables'!$C$1:$C$295,0),MATCH($B20,'Labor Hours and Deliverables'!$A$8:$Z$8,0)),0)</f>
        <v>0</v>
      </c>
      <c r="H20" s="651" t="str">
        <f t="shared" ref="H20:H22" si="14">IFERROR(G20*$D20,"")</f>
        <v/>
      </c>
      <c r="I20" s="504">
        <f>IFERROR(INDEX('Labor Hours and Deliverables'!$A$1:$Z$295,MATCH('Labor Costs'!I$17,'Labor Hours and Deliverables'!$C$1:$C$295,0),MATCH($B20,'Labor Hours and Deliverables'!$A$8:$Z$8,0)),0)</f>
        <v>0</v>
      </c>
      <c r="J20" s="651" t="str">
        <f t="shared" ref="J20:J22" si="15">IFERROR(I20*$D20,"")</f>
        <v/>
      </c>
      <c r="K20" s="504">
        <f>IFERROR(INDEX('Labor Hours and Deliverables'!$A$1:$Z$295,MATCH('Labor Costs'!K$17,'Labor Hours and Deliverables'!$C$1:$C$295,0),MATCH($B20,'Labor Hours and Deliverables'!$A$8:$Z$8,0)),0)</f>
        <v>0</v>
      </c>
      <c r="L20" s="651" t="str">
        <f t="shared" ref="L20:L22" si="16">IFERROR(K20*$D20,"")</f>
        <v/>
      </c>
      <c r="M20" s="504">
        <f>IFERROR(INDEX('Labor Hours and Deliverables'!$A$1:$Z$295,MATCH('Labor Costs'!M$17,'Labor Hours and Deliverables'!$C$1:$C$295,0),MATCH($B20,'Labor Hours and Deliverables'!$A$8:$Z$8,0)),0)</f>
        <v>0</v>
      </c>
      <c r="N20" s="651" t="str">
        <f t="shared" ref="N20:N22" si="17">IFERROR(M20*$D20,"")</f>
        <v/>
      </c>
      <c r="O20" s="504">
        <f>IFERROR(INDEX('Labor Hours and Deliverables'!$A$1:$Z$295,MATCH('Labor Costs'!O$17,'Labor Hours and Deliverables'!$C$1:$C$295,0),MATCH($B20,'Labor Hours and Deliverables'!$A$8:$Z$8,0)),0)</f>
        <v>0</v>
      </c>
      <c r="P20" s="651" t="str">
        <f t="shared" ref="P20:P22" si="18">IFERROR(O20*$D20,"")</f>
        <v/>
      </c>
      <c r="Q20" s="504">
        <f>IFERROR(INDEX('Labor Hours and Deliverables'!$A$1:$Z$295,MATCH('Labor Costs'!Q$17,'Labor Hours and Deliverables'!$C$1:$C$295,0),MATCH($B20,'Labor Hours and Deliverables'!$A$8:$Z$8,0)),0)</f>
        <v>0</v>
      </c>
      <c r="R20" s="651" t="str">
        <f t="shared" ref="R20:R22" si="19">IFERROR(Q20*$D20,"")</f>
        <v/>
      </c>
      <c r="S20" s="504">
        <f>IFERROR(INDEX('Labor Hours and Deliverables'!$A$1:$Z$295,MATCH('Labor Costs'!S$17,'Labor Hours and Deliverables'!$C$1:$C$295,0),MATCH($B20,'Labor Hours and Deliverables'!$A$8:$Z$8,0)),0)</f>
        <v>0</v>
      </c>
      <c r="T20" s="651" t="str">
        <f t="shared" ref="T20:T22" si="20">IFERROR(S20*$D20,"")</f>
        <v/>
      </c>
      <c r="U20" s="504">
        <f>IFERROR(INDEX('Labor Hours and Deliverables'!$A$1:$Z$295,MATCH('Labor Costs'!U$17,'Labor Hours and Deliverables'!$C$1:$C$295,0),MATCH($B20,'Labor Hours and Deliverables'!$A$8:$Z$8,0)),0)</f>
        <v>0</v>
      </c>
      <c r="V20" s="651" t="str">
        <f t="shared" ref="V20:V22" si="21">IFERROR(U20*$D20,"")</f>
        <v/>
      </c>
      <c r="W20" s="505">
        <f t="shared" si="10"/>
        <v>100</v>
      </c>
      <c r="X20" s="655">
        <f t="shared" si="11"/>
        <v>0</v>
      </c>
      <c r="Y20" s="506" t="str">
        <f t="shared" ref="Y20:Y22" si="22">IF(W20=Z20,"OK","Error")</f>
        <v>OK</v>
      </c>
      <c r="Z20" s="507">
        <f>'Labor Hours and Deliverables'!G91</f>
        <v>100</v>
      </c>
    </row>
    <row r="21" spans="1:26" ht="15" customHeight="1">
      <c r="A21" s="501" t="str">
        <f>'Labor Hours and Deliverables'!H7</f>
        <v>Ann Sihler LLC</v>
      </c>
      <c r="B21" s="502" t="str">
        <f>'Labor Hours and Deliverables'!H8</f>
        <v>Ann Sihler</v>
      </c>
      <c r="C21" s="503" t="str">
        <f>IFERROR(IF($A21&lt;&gt;"",VLOOKUP($A21,Rates!$H$7:$I$28,2,FALSE),""),"")</f>
        <v>SBE</v>
      </c>
      <c r="D21" s="650" t="str">
        <f>IFERROR(VLOOKUP($B21,Rates!$A:$D,4,FALSE),"")</f>
        <v/>
      </c>
      <c r="E21" s="504">
        <f>IFERROR(INDEX('Labor Hours and Deliverables'!$A$1:$Z$295,MATCH('Labor Costs'!E$17,'Labor Hours and Deliverables'!$C$1:$C$295,0),MATCH($B21,'Labor Hours and Deliverables'!$A$8:$Z$8,0)),0)</f>
        <v>100</v>
      </c>
      <c r="F21" s="651" t="str">
        <f t="shared" ref="F21" si="23">IFERROR(E21*$D21,"")</f>
        <v/>
      </c>
      <c r="G21" s="504">
        <f>IFERROR(INDEX('Labor Hours and Deliverables'!$A$1:$Z$295,MATCH('Labor Costs'!G$17,'Labor Hours and Deliverables'!$C$1:$C$295,0),MATCH($B21,'Labor Hours and Deliverables'!$A$8:$Z$8,0)),0)</f>
        <v>40</v>
      </c>
      <c r="H21" s="651" t="str">
        <f t="shared" ref="H21" si="24">IFERROR(G21*$D21,"")</f>
        <v/>
      </c>
      <c r="I21" s="504">
        <f>IFERROR(INDEX('Labor Hours and Deliverables'!$A$1:$Z$295,MATCH('Labor Costs'!I$17,'Labor Hours and Deliverables'!$C$1:$C$295,0),MATCH($B21,'Labor Hours and Deliverables'!$A$8:$Z$8,0)),0)</f>
        <v>0</v>
      </c>
      <c r="J21" s="651" t="str">
        <f t="shared" ref="J21" si="25">IFERROR(I21*$D21,"")</f>
        <v/>
      </c>
      <c r="K21" s="504">
        <f>IFERROR(INDEX('Labor Hours and Deliverables'!$A$1:$Z$295,MATCH('Labor Costs'!K$17,'Labor Hours and Deliverables'!$C$1:$C$295,0),MATCH($B21,'Labor Hours and Deliverables'!$A$8:$Z$8,0)),0)</f>
        <v>0</v>
      </c>
      <c r="L21" s="651" t="str">
        <f t="shared" ref="L21" si="26">IFERROR(K21*$D21,"")</f>
        <v/>
      </c>
      <c r="M21" s="504">
        <f>IFERROR(INDEX('Labor Hours and Deliverables'!$A$1:$Z$295,MATCH('Labor Costs'!M$17,'Labor Hours and Deliverables'!$C$1:$C$295,0),MATCH($B21,'Labor Hours and Deliverables'!$A$8:$Z$8,0)),0)</f>
        <v>0</v>
      </c>
      <c r="N21" s="651" t="str">
        <f t="shared" ref="N21" si="27">IFERROR(M21*$D21,"")</f>
        <v/>
      </c>
      <c r="O21" s="504">
        <f>IFERROR(INDEX('Labor Hours and Deliverables'!$A$1:$Z$295,MATCH('Labor Costs'!O$17,'Labor Hours and Deliverables'!$C$1:$C$295,0),MATCH($B21,'Labor Hours and Deliverables'!$A$8:$Z$8,0)),0)</f>
        <v>0</v>
      </c>
      <c r="P21" s="651" t="str">
        <f t="shared" ref="P21" si="28">IFERROR(O21*$D21,"")</f>
        <v/>
      </c>
      <c r="Q21" s="504">
        <f>IFERROR(INDEX('Labor Hours and Deliverables'!$A$1:$Z$295,MATCH('Labor Costs'!Q$17,'Labor Hours and Deliverables'!$C$1:$C$295,0),MATCH($B21,'Labor Hours and Deliverables'!$A$8:$Z$8,0)),0)</f>
        <v>0</v>
      </c>
      <c r="R21" s="651" t="str">
        <f t="shared" ref="R21" si="29">IFERROR(Q21*$D21,"")</f>
        <v/>
      </c>
      <c r="S21" s="504">
        <f>IFERROR(INDEX('Labor Hours and Deliverables'!$A$1:$Z$295,MATCH('Labor Costs'!S$17,'Labor Hours and Deliverables'!$C$1:$C$295,0),MATCH($B21,'Labor Hours and Deliverables'!$A$8:$Z$8,0)),0)</f>
        <v>0</v>
      </c>
      <c r="T21" s="651" t="str">
        <f t="shared" ref="T21" si="30">IFERROR(S21*$D21,"")</f>
        <v/>
      </c>
      <c r="U21" s="504">
        <f>IFERROR(INDEX('Labor Hours and Deliverables'!$A$1:$Z$295,MATCH('Labor Costs'!U$17,'Labor Hours and Deliverables'!$C$1:$C$295,0),MATCH($B21,'Labor Hours and Deliverables'!$A$8:$Z$8,0)),0)</f>
        <v>0</v>
      </c>
      <c r="V21" s="651" t="str">
        <f t="shared" ref="V21" si="31">IFERROR(U21*$D21,"")</f>
        <v/>
      </c>
      <c r="W21" s="505">
        <f t="shared" si="10"/>
        <v>140</v>
      </c>
      <c r="X21" s="655">
        <f t="shared" si="11"/>
        <v>0</v>
      </c>
      <c r="Y21" s="506" t="str">
        <f t="shared" ref="Y21" si="32">IF(W21=Z21,"OK","Error")</f>
        <v>OK</v>
      </c>
      <c r="Z21" s="507">
        <f>'Labor Hours and Deliverables'!H91</f>
        <v>140</v>
      </c>
    </row>
    <row r="22" spans="1:26" ht="15" customHeight="1">
      <c r="A22" s="501" t="str">
        <f>'Labor Hours and Deliverables'!I7</f>
        <v>Air Sciences</v>
      </c>
      <c r="B22" s="502" t="str">
        <f>'Labor Hours and Deliverables'!I8</f>
        <v>Mark Schaaf</v>
      </c>
      <c r="C22" s="503" t="str">
        <f>IFERROR(IF($A22&lt;&gt;"",VLOOKUP($A22,Rates!$H$7:$I$28,2,FALSE),""),"")</f>
        <v>Prime</v>
      </c>
      <c r="D22" s="650">
        <f>IFERROR(VLOOKUP($B22,Rates!$A:$D,4,FALSE),"")</f>
        <v>235</v>
      </c>
      <c r="E22" s="504">
        <f>IFERROR(INDEX('Labor Hours and Deliverables'!$A$1:$Z$295,MATCH('Labor Costs'!E$17,'Labor Hours and Deliverables'!$C$1:$C$295,0),MATCH($B22,'Labor Hours and Deliverables'!$A$8:$Z$8,0)),0)</f>
        <v>12</v>
      </c>
      <c r="F22" s="651">
        <f t="shared" si="13"/>
        <v>2820</v>
      </c>
      <c r="G22" s="504">
        <f>IFERROR(INDEX('Labor Hours and Deliverables'!$A$1:$Z$295,MATCH('Labor Costs'!G$17,'Labor Hours and Deliverables'!$C$1:$C$295,0),MATCH($B22,'Labor Hours and Deliverables'!$A$8:$Z$8,0)),0)</f>
        <v>30</v>
      </c>
      <c r="H22" s="651">
        <f t="shared" si="14"/>
        <v>7050</v>
      </c>
      <c r="I22" s="504">
        <f>IFERROR(INDEX('Labor Hours and Deliverables'!$A$1:$Z$295,MATCH('Labor Costs'!I$17,'Labor Hours and Deliverables'!$C$1:$C$295,0),MATCH($B22,'Labor Hours and Deliverables'!$A$8:$Z$8,0)),0)</f>
        <v>0</v>
      </c>
      <c r="J22" s="651">
        <f t="shared" si="15"/>
        <v>0</v>
      </c>
      <c r="K22" s="504">
        <f>IFERROR(INDEX('Labor Hours and Deliverables'!$A$1:$Z$295,MATCH('Labor Costs'!K$17,'Labor Hours and Deliverables'!$C$1:$C$295,0),MATCH($B22,'Labor Hours and Deliverables'!$A$8:$Z$8,0)),0)</f>
        <v>0</v>
      </c>
      <c r="L22" s="651">
        <f t="shared" si="16"/>
        <v>0</v>
      </c>
      <c r="M22" s="504">
        <f>IFERROR(INDEX('Labor Hours and Deliverables'!$A$1:$Z$295,MATCH('Labor Costs'!M$17,'Labor Hours and Deliverables'!$C$1:$C$295,0),MATCH($B22,'Labor Hours and Deliverables'!$A$8:$Z$8,0)),0)</f>
        <v>0</v>
      </c>
      <c r="N22" s="651">
        <f t="shared" si="17"/>
        <v>0</v>
      </c>
      <c r="O22" s="504">
        <f>IFERROR(INDEX('Labor Hours and Deliverables'!$A$1:$Z$295,MATCH('Labor Costs'!O$17,'Labor Hours and Deliverables'!$C$1:$C$295,0),MATCH($B22,'Labor Hours and Deliverables'!$A$8:$Z$8,0)),0)</f>
        <v>0</v>
      </c>
      <c r="P22" s="651">
        <f t="shared" si="18"/>
        <v>0</v>
      </c>
      <c r="Q22" s="504">
        <f>IFERROR(INDEX('Labor Hours and Deliverables'!$A$1:$Z$295,MATCH('Labor Costs'!Q$17,'Labor Hours and Deliverables'!$C$1:$C$295,0),MATCH($B22,'Labor Hours and Deliverables'!$A$8:$Z$8,0)),0)</f>
        <v>0</v>
      </c>
      <c r="R22" s="651">
        <f t="shared" si="19"/>
        <v>0</v>
      </c>
      <c r="S22" s="504">
        <f>IFERROR(INDEX('Labor Hours and Deliverables'!$A$1:$Z$295,MATCH('Labor Costs'!S$17,'Labor Hours and Deliverables'!$C$1:$C$295,0),MATCH($B22,'Labor Hours and Deliverables'!$A$8:$Z$8,0)),0)</f>
        <v>0</v>
      </c>
      <c r="T22" s="651">
        <f t="shared" si="20"/>
        <v>0</v>
      </c>
      <c r="U22" s="504">
        <f>IFERROR(INDEX('Labor Hours and Deliverables'!$A$1:$Z$295,MATCH('Labor Costs'!U$17,'Labor Hours and Deliverables'!$C$1:$C$295,0),MATCH($B22,'Labor Hours and Deliverables'!$A$8:$Z$8,0)),0)</f>
        <v>0</v>
      </c>
      <c r="V22" s="651">
        <f t="shared" si="21"/>
        <v>0</v>
      </c>
      <c r="W22" s="505">
        <f t="shared" si="10"/>
        <v>42</v>
      </c>
      <c r="X22" s="655">
        <f t="shared" si="11"/>
        <v>9870</v>
      </c>
      <c r="Y22" s="506" t="str">
        <f t="shared" si="22"/>
        <v>OK</v>
      </c>
      <c r="Z22" s="507">
        <f>'Labor Hours and Deliverables'!I91</f>
        <v>42</v>
      </c>
    </row>
    <row r="23" spans="1:26" ht="15" customHeight="1">
      <c r="A23" s="501" t="str">
        <f>'Labor Hours and Deliverables'!J7</f>
        <v>Air Sciences</v>
      </c>
      <c r="B23" s="502" t="str">
        <f>'Labor Hours and Deliverables'!J8</f>
        <v>John Bannister</v>
      </c>
      <c r="C23" s="503" t="str">
        <f>IFERROR(IF($A23&lt;&gt;"",VLOOKUP($A23,Rates!$H$7:$I$28,2,FALSE),""),"")</f>
        <v>Prime</v>
      </c>
      <c r="D23" s="650">
        <f>IFERROR(VLOOKUP($B23,Rates!$A:$D,4,FALSE),"")</f>
        <v>174</v>
      </c>
      <c r="E23" s="504">
        <f>IFERROR(INDEX('Labor Hours and Deliverables'!$A$1:$Z$295,MATCH('Labor Costs'!E$17,'Labor Hours and Deliverables'!$C$1:$C$295,0),MATCH($B23,'Labor Hours and Deliverables'!$A$8:$Z$8,0)),0)</f>
        <v>10</v>
      </c>
      <c r="F23" s="651">
        <f t="shared" ref="F23:F29" si="33">IFERROR(E23*$D23,"")</f>
        <v>1740</v>
      </c>
      <c r="G23" s="504">
        <f>IFERROR(INDEX('Labor Hours and Deliverables'!$A$1:$Z$295,MATCH('Labor Costs'!G$17,'Labor Hours and Deliverables'!$C$1:$C$295,0),MATCH($B23,'Labor Hours and Deliverables'!$A$8:$Z$8,0)),0)</f>
        <v>115</v>
      </c>
      <c r="H23" s="651">
        <f t="shared" ref="H23:H29" si="34">IFERROR(G23*$D23,"")</f>
        <v>20010</v>
      </c>
      <c r="I23" s="504">
        <f>IFERROR(INDEX('Labor Hours and Deliverables'!$A$1:$Z$295,MATCH('Labor Costs'!I$17,'Labor Hours and Deliverables'!$C$1:$C$295,0),MATCH($B23,'Labor Hours and Deliverables'!$A$8:$Z$8,0)),0)</f>
        <v>0</v>
      </c>
      <c r="J23" s="651">
        <f t="shared" ref="J23:J29" si="35">IFERROR(I23*$D23,"")</f>
        <v>0</v>
      </c>
      <c r="K23" s="504">
        <f>IFERROR(INDEX('Labor Hours and Deliverables'!$A$1:$Z$295,MATCH('Labor Costs'!K$17,'Labor Hours and Deliverables'!$C$1:$C$295,0),MATCH($B23,'Labor Hours and Deliverables'!$A$8:$Z$8,0)),0)</f>
        <v>0</v>
      </c>
      <c r="L23" s="651">
        <f t="shared" ref="L23:L29" si="36">IFERROR(K23*$D23,"")</f>
        <v>0</v>
      </c>
      <c r="M23" s="504">
        <f>IFERROR(INDEX('Labor Hours and Deliverables'!$A$1:$Z$295,MATCH('Labor Costs'!M$17,'Labor Hours and Deliverables'!$C$1:$C$295,0),MATCH($B23,'Labor Hours and Deliverables'!$A$8:$Z$8,0)),0)</f>
        <v>0</v>
      </c>
      <c r="N23" s="651">
        <f t="shared" ref="N23:N29" si="37">IFERROR(M23*$D23,"")</f>
        <v>0</v>
      </c>
      <c r="O23" s="504">
        <f>IFERROR(INDEX('Labor Hours and Deliverables'!$A$1:$Z$295,MATCH('Labor Costs'!O$17,'Labor Hours and Deliverables'!$C$1:$C$295,0),MATCH($B23,'Labor Hours and Deliverables'!$A$8:$Z$8,0)),0)</f>
        <v>0</v>
      </c>
      <c r="P23" s="651">
        <f t="shared" ref="P23:P29" si="38">IFERROR(O23*$D23,"")</f>
        <v>0</v>
      </c>
      <c r="Q23" s="504">
        <f>IFERROR(INDEX('Labor Hours and Deliverables'!$A$1:$Z$295,MATCH('Labor Costs'!Q$17,'Labor Hours and Deliverables'!$C$1:$C$295,0),MATCH($B23,'Labor Hours and Deliverables'!$A$8:$Z$8,0)),0)</f>
        <v>0</v>
      </c>
      <c r="R23" s="651">
        <f t="shared" ref="R23:R29" si="39">IFERROR(Q23*$D23,"")</f>
        <v>0</v>
      </c>
      <c r="S23" s="504">
        <f>IFERROR(INDEX('Labor Hours and Deliverables'!$A$1:$Z$295,MATCH('Labor Costs'!S$17,'Labor Hours and Deliverables'!$C$1:$C$295,0),MATCH($B23,'Labor Hours and Deliverables'!$A$8:$Z$8,0)),0)</f>
        <v>0</v>
      </c>
      <c r="T23" s="651">
        <f t="shared" ref="T23:T29" si="40">IFERROR(S23*$D23,"")</f>
        <v>0</v>
      </c>
      <c r="U23" s="504">
        <f>IFERROR(INDEX('Labor Hours and Deliverables'!$A$1:$Z$295,MATCH('Labor Costs'!U$17,'Labor Hours and Deliverables'!$C$1:$C$295,0),MATCH($B23,'Labor Hours and Deliverables'!$A$8:$Z$8,0)),0)</f>
        <v>0</v>
      </c>
      <c r="V23" s="651">
        <f t="shared" ref="V23:V29" si="41">IFERROR(U23*$D23,"")</f>
        <v>0</v>
      </c>
      <c r="W23" s="505">
        <f t="shared" si="10"/>
        <v>125</v>
      </c>
      <c r="X23" s="655">
        <f t="shared" si="11"/>
        <v>21750</v>
      </c>
      <c r="Y23" s="506" t="str">
        <f t="shared" ref="Y23:Y27" si="42">IF(W23=Z23,"OK","Error")</f>
        <v>OK</v>
      </c>
      <c r="Z23" s="507">
        <f>'Labor Hours and Deliverables'!J91</f>
        <v>125</v>
      </c>
    </row>
    <row r="24" spans="1:26" ht="15" customHeight="1">
      <c r="A24" s="501" t="str">
        <f>'Labor Hours and Deliverables'!K7</f>
        <v>Unspecified</v>
      </c>
      <c r="B24" s="502" t="str">
        <f>'Labor Hours and Deliverables'!K8</f>
        <v>-</v>
      </c>
      <c r="C24" s="503" t="str">
        <f>IFERROR(IF($A24&lt;&gt;"",VLOOKUP($A24,Rates!$H$7:$I$28,2,FALSE),""),"")</f>
        <v>-</v>
      </c>
      <c r="D24" s="650" t="str">
        <f>IFERROR(VLOOKUP($B24,Rates!$A:$D,4,FALSE),"")</f>
        <v xml:space="preserve"> </v>
      </c>
      <c r="E24" s="504">
        <f>IFERROR(INDEX('Labor Hours and Deliverables'!$A$1:$Z$295,MATCH('Labor Costs'!E$17,'Labor Hours and Deliverables'!$C$1:$C$295,0),MATCH($B24,'Labor Hours and Deliverables'!$A$8:$Z$8,0)),0)</f>
        <v>0</v>
      </c>
      <c r="F24" s="651" t="str">
        <f t="shared" si="33"/>
        <v/>
      </c>
      <c r="G24" s="504">
        <f>IFERROR(INDEX('Labor Hours and Deliverables'!$A$1:$Z$295,MATCH('Labor Costs'!G$17,'Labor Hours and Deliverables'!$C$1:$C$295,0),MATCH($B24,'Labor Hours and Deliverables'!$A$8:$Z$8,0)),0)</f>
        <v>0</v>
      </c>
      <c r="H24" s="651" t="str">
        <f t="shared" si="34"/>
        <v/>
      </c>
      <c r="I24" s="504">
        <f>IFERROR(INDEX('Labor Hours and Deliverables'!$A$1:$Z$295,MATCH('Labor Costs'!I$17,'Labor Hours and Deliverables'!$C$1:$C$295,0),MATCH($B24,'Labor Hours and Deliverables'!$A$8:$Z$8,0)),0)</f>
        <v>0</v>
      </c>
      <c r="J24" s="651" t="str">
        <f t="shared" si="35"/>
        <v/>
      </c>
      <c r="K24" s="504">
        <f>IFERROR(INDEX('Labor Hours and Deliverables'!$A$1:$Z$295,MATCH('Labor Costs'!K$17,'Labor Hours and Deliverables'!$C$1:$C$295,0),MATCH($B24,'Labor Hours and Deliverables'!$A$8:$Z$8,0)),0)</f>
        <v>0</v>
      </c>
      <c r="L24" s="651" t="str">
        <f t="shared" si="36"/>
        <v/>
      </c>
      <c r="M24" s="504">
        <f>IFERROR(INDEX('Labor Hours and Deliverables'!$A$1:$Z$295,MATCH('Labor Costs'!M$17,'Labor Hours and Deliverables'!$C$1:$C$295,0),MATCH($B24,'Labor Hours and Deliverables'!$A$8:$Z$8,0)),0)</f>
        <v>0</v>
      </c>
      <c r="N24" s="651" t="str">
        <f t="shared" si="37"/>
        <v/>
      </c>
      <c r="O24" s="504">
        <f>IFERROR(INDEX('Labor Hours and Deliverables'!$A$1:$Z$295,MATCH('Labor Costs'!O$17,'Labor Hours and Deliverables'!$C$1:$C$295,0),MATCH($B24,'Labor Hours and Deliverables'!$A$8:$Z$8,0)),0)</f>
        <v>0</v>
      </c>
      <c r="P24" s="651" t="str">
        <f t="shared" si="38"/>
        <v/>
      </c>
      <c r="Q24" s="504">
        <f>IFERROR(INDEX('Labor Hours and Deliverables'!$A$1:$Z$295,MATCH('Labor Costs'!Q$17,'Labor Hours and Deliverables'!$C$1:$C$295,0),MATCH($B24,'Labor Hours and Deliverables'!$A$8:$Z$8,0)),0)</f>
        <v>0</v>
      </c>
      <c r="R24" s="651" t="str">
        <f t="shared" si="39"/>
        <v/>
      </c>
      <c r="S24" s="504">
        <f>IFERROR(INDEX('Labor Hours and Deliverables'!$A$1:$Z$295,MATCH('Labor Costs'!S$17,'Labor Hours and Deliverables'!$C$1:$C$295,0),MATCH($B24,'Labor Hours and Deliverables'!$A$8:$Z$8,0)),0)</f>
        <v>0</v>
      </c>
      <c r="T24" s="651" t="str">
        <f t="shared" si="40"/>
        <v/>
      </c>
      <c r="U24" s="504">
        <f>IFERROR(INDEX('Labor Hours and Deliverables'!$A$1:$Z$295,MATCH('Labor Costs'!U$17,'Labor Hours and Deliverables'!$C$1:$C$295,0),MATCH($B24,'Labor Hours and Deliverables'!$A$8:$Z$8,0)),0)</f>
        <v>0</v>
      </c>
      <c r="V24" s="651" t="str">
        <f t="shared" si="41"/>
        <v/>
      </c>
      <c r="W24" s="505">
        <f t="shared" si="10"/>
        <v>0</v>
      </c>
      <c r="X24" s="655">
        <f t="shared" si="11"/>
        <v>0</v>
      </c>
      <c r="Y24" s="506" t="str">
        <f t="shared" si="42"/>
        <v>OK</v>
      </c>
      <c r="Z24" s="507">
        <f>'Labor Hours and Deliverables'!K91</f>
        <v>0</v>
      </c>
    </row>
    <row r="25" spans="1:26" ht="15" customHeight="1">
      <c r="A25" s="501" t="str">
        <f>'Labor Hours and Deliverables'!L7</f>
        <v>Unspecified</v>
      </c>
      <c r="B25" s="502" t="str">
        <f>'Labor Hours and Deliverables'!L8</f>
        <v>-</v>
      </c>
      <c r="C25" s="503" t="str">
        <f>IFERROR(IF($A25&lt;&gt;"",VLOOKUP($A25,Rates!$H$7:$I$28,2,FALSE),""),"")</f>
        <v>-</v>
      </c>
      <c r="D25" s="650" t="str">
        <f>IFERROR(VLOOKUP($B25,Rates!$A:$D,4,FALSE),"")</f>
        <v xml:space="preserve"> </v>
      </c>
      <c r="E25" s="504">
        <f>IFERROR(INDEX('Labor Hours and Deliverables'!$A$1:$Z$295,MATCH('Labor Costs'!E$17,'Labor Hours and Deliverables'!$C$1:$C$295,0),MATCH($B25,'Labor Hours and Deliverables'!$A$8:$Z$8,0)),0)</f>
        <v>0</v>
      </c>
      <c r="F25" s="651" t="str">
        <f t="shared" si="33"/>
        <v/>
      </c>
      <c r="G25" s="504">
        <f>IFERROR(INDEX('Labor Hours and Deliverables'!$A$1:$Z$295,MATCH('Labor Costs'!G$17,'Labor Hours and Deliverables'!$C$1:$C$295,0),MATCH($B25,'Labor Hours and Deliverables'!$A$8:$Z$8,0)),0)</f>
        <v>0</v>
      </c>
      <c r="H25" s="651" t="str">
        <f t="shared" si="34"/>
        <v/>
      </c>
      <c r="I25" s="504">
        <f>IFERROR(INDEX('Labor Hours and Deliverables'!$A$1:$Z$295,MATCH('Labor Costs'!I$17,'Labor Hours and Deliverables'!$C$1:$C$295,0),MATCH($B25,'Labor Hours and Deliverables'!$A$8:$Z$8,0)),0)</f>
        <v>0</v>
      </c>
      <c r="J25" s="651" t="str">
        <f t="shared" si="35"/>
        <v/>
      </c>
      <c r="K25" s="504">
        <f>IFERROR(INDEX('Labor Hours and Deliverables'!$A$1:$Z$295,MATCH('Labor Costs'!K$17,'Labor Hours and Deliverables'!$C$1:$C$295,0),MATCH($B25,'Labor Hours and Deliverables'!$A$8:$Z$8,0)),0)</f>
        <v>0</v>
      </c>
      <c r="L25" s="651" t="str">
        <f t="shared" si="36"/>
        <v/>
      </c>
      <c r="M25" s="504">
        <f>IFERROR(INDEX('Labor Hours and Deliverables'!$A$1:$Z$295,MATCH('Labor Costs'!M$17,'Labor Hours and Deliverables'!$C$1:$C$295,0),MATCH($B25,'Labor Hours and Deliverables'!$A$8:$Z$8,0)),0)</f>
        <v>0</v>
      </c>
      <c r="N25" s="651" t="str">
        <f t="shared" si="37"/>
        <v/>
      </c>
      <c r="O25" s="504">
        <f>IFERROR(INDEX('Labor Hours and Deliverables'!$A$1:$Z$295,MATCH('Labor Costs'!O$17,'Labor Hours and Deliverables'!$C$1:$C$295,0),MATCH($B25,'Labor Hours and Deliverables'!$A$8:$Z$8,0)),0)</f>
        <v>0</v>
      </c>
      <c r="P25" s="651" t="str">
        <f t="shared" si="38"/>
        <v/>
      </c>
      <c r="Q25" s="504">
        <f>IFERROR(INDEX('Labor Hours and Deliverables'!$A$1:$Z$295,MATCH('Labor Costs'!Q$17,'Labor Hours and Deliverables'!$C$1:$C$295,0),MATCH($B25,'Labor Hours and Deliverables'!$A$8:$Z$8,0)),0)</f>
        <v>0</v>
      </c>
      <c r="R25" s="651" t="str">
        <f t="shared" si="39"/>
        <v/>
      </c>
      <c r="S25" s="504">
        <f>IFERROR(INDEX('Labor Hours and Deliverables'!$A$1:$Z$295,MATCH('Labor Costs'!S$17,'Labor Hours and Deliverables'!$C$1:$C$295,0),MATCH($B25,'Labor Hours and Deliverables'!$A$8:$Z$8,0)),0)</f>
        <v>0</v>
      </c>
      <c r="T25" s="651" t="str">
        <f t="shared" si="40"/>
        <v/>
      </c>
      <c r="U25" s="504">
        <f>IFERROR(INDEX('Labor Hours and Deliverables'!$A$1:$Z$295,MATCH('Labor Costs'!U$17,'Labor Hours and Deliverables'!$C$1:$C$295,0),MATCH($B25,'Labor Hours and Deliverables'!$A$8:$Z$8,0)),0)</f>
        <v>0</v>
      </c>
      <c r="V25" s="651" t="str">
        <f t="shared" si="41"/>
        <v/>
      </c>
      <c r="W25" s="505">
        <f t="shared" si="10"/>
        <v>0</v>
      </c>
      <c r="X25" s="655">
        <f t="shared" si="11"/>
        <v>0</v>
      </c>
      <c r="Y25" s="506" t="str">
        <f t="shared" si="42"/>
        <v>OK</v>
      </c>
      <c r="Z25" s="507">
        <f>'Labor Hours and Deliverables'!L91</f>
        <v>0</v>
      </c>
    </row>
    <row r="26" spans="1:26" ht="15" customHeight="1">
      <c r="A26" s="501" t="str">
        <f>'Labor Hours and Deliverables'!M7</f>
        <v>Unspecified</v>
      </c>
      <c r="B26" s="502" t="str">
        <f>'Labor Hours and Deliverables'!M8</f>
        <v>-</v>
      </c>
      <c r="C26" s="503" t="str">
        <f>IFERROR(IF($A26&lt;&gt;"",VLOOKUP($A26,Rates!$H$7:$I$28,2,FALSE),""),"")</f>
        <v>-</v>
      </c>
      <c r="D26" s="650" t="str">
        <f>IFERROR(VLOOKUP($B26,Rates!$A:$D,4,FALSE),"")</f>
        <v xml:space="preserve"> </v>
      </c>
      <c r="E26" s="504">
        <f>IFERROR(INDEX('Labor Hours and Deliverables'!$A$1:$Z$295,MATCH('Labor Costs'!E$17,'Labor Hours and Deliverables'!$C$1:$C$295,0),MATCH($B26,'Labor Hours and Deliverables'!$A$8:$Z$8,0)),0)</f>
        <v>0</v>
      </c>
      <c r="F26" s="651" t="str">
        <f t="shared" si="33"/>
        <v/>
      </c>
      <c r="G26" s="504">
        <f>IFERROR(INDEX('Labor Hours and Deliverables'!$A$1:$Z$295,MATCH('Labor Costs'!G$17,'Labor Hours and Deliverables'!$C$1:$C$295,0),MATCH($B26,'Labor Hours and Deliverables'!$A$8:$Z$8,0)),0)</f>
        <v>0</v>
      </c>
      <c r="H26" s="651" t="str">
        <f t="shared" si="34"/>
        <v/>
      </c>
      <c r="I26" s="504">
        <f>IFERROR(INDEX('Labor Hours and Deliverables'!$A$1:$Z$295,MATCH('Labor Costs'!I$17,'Labor Hours and Deliverables'!$C$1:$C$295,0),MATCH($B26,'Labor Hours and Deliverables'!$A$8:$Z$8,0)),0)</f>
        <v>0</v>
      </c>
      <c r="J26" s="651" t="str">
        <f t="shared" si="35"/>
        <v/>
      </c>
      <c r="K26" s="504">
        <f>IFERROR(INDEX('Labor Hours and Deliverables'!$A$1:$Z$295,MATCH('Labor Costs'!K$17,'Labor Hours and Deliverables'!$C$1:$C$295,0),MATCH($B26,'Labor Hours and Deliverables'!$A$8:$Z$8,0)),0)</f>
        <v>0</v>
      </c>
      <c r="L26" s="651" t="str">
        <f t="shared" si="36"/>
        <v/>
      </c>
      <c r="M26" s="504">
        <f>IFERROR(INDEX('Labor Hours and Deliverables'!$A$1:$Z$295,MATCH('Labor Costs'!M$17,'Labor Hours and Deliverables'!$C$1:$C$295,0),MATCH($B26,'Labor Hours and Deliverables'!$A$8:$Z$8,0)),0)</f>
        <v>0</v>
      </c>
      <c r="N26" s="651" t="str">
        <f t="shared" si="37"/>
        <v/>
      </c>
      <c r="O26" s="504">
        <f>IFERROR(INDEX('Labor Hours and Deliverables'!$A$1:$Z$295,MATCH('Labor Costs'!O$17,'Labor Hours and Deliverables'!$C$1:$C$295,0),MATCH($B26,'Labor Hours and Deliverables'!$A$8:$Z$8,0)),0)</f>
        <v>0</v>
      </c>
      <c r="P26" s="651" t="str">
        <f t="shared" si="38"/>
        <v/>
      </c>
      <c r="Q26" s="504">
        <f>IFERROR(INDEX('Labor Hours and Deliverables'!$A$1:$Z$295,MATCH('Labor Costs'!Q$17,'Labor Hours and Deliverables'!$C$1:$C$295,0),MATCH($B26,'Labor Hours and Deliverables'!$A$8:$Z$8,0)),0)</f>
        <v>0</v>
      </c>
      <c r="R26" s="651" t="str">
        <f t="shared" si="39"/>
        <v/>
      </c>
      <c r="S26" s="504">
        <f>IFERROR(INDEX('Labor Hours and Deliverables'!$A$1:$Z$295,MATCH('Labor Costs'!S$17,'Labor Hours and Deliverables'!$C$1:$C$295,0),MATCH($B26,'Labor Hours and Deliverables'!$A$8:$Z$8,0)),0)</f>
        <v>0</v>
      </c>
      <c r="T26" s="651" t="str">
        <f t="shared" si="40"/>
        <v/>
      </c>
      <c r="U26" s="504">
        <f>IFERROR(INDEX('Labor Hours and Deliverables'!$A$1:$Z$295,MATCH('Labor Costs'!U$17,'Labor Hours and Deliverables'!$C$1:$C$295,0),MATCH($B26,'Labor Hours and Deliverables'!$A$8:$Z$8,0)),0)</f>
        <v>0</v>
      </c>
      <c r="V26" s="651" t="str">
        <f t="shared" si="41"/>
        <v/>
      </c>
      <c r="W26" s="505">
        <f t="shared" si="10"/>
        <v>0</v>
      </c>
      <c r="X26" s="655">
        <f t="shared" si="11"/>
        <v>0</v>
      </c>
      <c r="Y26" s="506" t="str">
        <f t="shared" si="42"/>
        <v>OK</v>
      </c>
      <c r="Z26" s="507">
        <f>'Labor Hours and Deliverables'!M91</f>
        <v>0</v>
      </c>
    </row>
    <row r="27" spans="1:26" ht="15" customHeight="1">
      <c r="A27" s="501" t="str">
        <f>'Labor Hours and Deliverables'!N7</f>
        <v>Unspecified</v>
      </c>
      <c r="B27" s="502" t="str">
        <f>'Labor Hours and Deliverables'!N8</f>
        <v>-</v>
      </c>
      <c r="C27" s="503" t="str">
        <f>IFERROR(IF($A27&lt;&gt;"",VLOOKUP($A27,Rates!$H$7:$I$28,2,FALSE),""),"")</f>
        <v>-</v>
      </c>
      <c r="D27" s="650" t="str">
        <f>IFERROR(VLOOKUP($B27,Rates!$A:$D,4,FALSE),"")</f>
        <v xml:space="preserve"> </v>
      </c>
      <c r="E27" s="504">
        <f>IFERROR(INDEX('Labor Hours and Deliverables'!$A$1:$Z$295,MATCH('Labor Costs'!E$17,'Labor Hours and Deliverables'!$C$1:$C$295,0),MATCH($B27,'Labor Hours and Deliverables'!$A$8:$Z$8,0)),0)</f>
        <v>0</v>
      </c>
      <c r="F27" s="651" t="str">
        <f t="shared" si="33"/>
        <v/>
      </c>
      <c r="G27" s="504">
        <f>IFERROR(INDEX('Labor Hours and Deliverables'!$A$1:$Z$295,MATCH('Labor Costs'!G$17,'Labor Hours and Deliverables'!$C$1:$C$295,0),MATCH($B27,'Labor Hours and Deliverables'!$A$8:$Z$8,0)),0)</f>
        <v>0</v>
      </c>
      <c r="H27" s="651" t="str">
        <f t="shared" si="34"/>
        <v/>
      </c>
      <c r="I27" s="504">
        <f>IFERROR(INDEX('Labor Hours and Deliverables'!$A$1:$Z$295,MATCH('Labor Costs'!I$17,'Labor Hours and Deliverables'!$C$1:$C$295,0),MATCH($B27,'Labor Hours and Deliverables'!$A$8:$Z$8,0)),0)</f>
        <v>0</v>
      </c>
      <c r="J27" s="651" t="str">
        <f t="shared" si="35"/>
        <v/>
      </c>
      <c r="K27" s="504">
        <f>IFERROR(INDEX('Labor Hours and Deliverables'!$A$1:$Z$295,MATCH('Labor Costs'!K$17,'Labor Hours and Deliverables'!$C$1:$C$295,0),MATCH($B27,'Labor Hours and Deliverables'!$A$8:$Z$8,0)),0)</f>
        <v>0</v>
      </c>
      <c r="L27" s="651" t="str">
        <f t="shared" si="36"/>
        <v/>
      </c>
      <c r="M27" s="504">
        <f>IFERROR(INDEX('Labor Hours and Deliverables'!$A$1:$Z$295,MATCH('Labor Costs'!M$17,'Labor Hours and Deliverables'!$C$1:$C$295,0),MATCH($B27,'Labor Hours and Deliverables'!$A$8:$Z$8,0)),0)</f>
        <v>0</v>
      </c>
      <c r="N27" s="651" t="str">
        <f t="shared" si="37"/>
        <v/>
      </c>
      <c r="O27" s="504">
        <f>IFERROR(INDEX('Labor Hours and Deliverables'!$A$1:$Z$295,MATCH('Labor Costs'!O$17,'Labor Hours and Deliverables'!$C$1:$C$295,0),MATCH($B27,'Labor Hours and Deliverables'!$A$8:$Z$8,0)),0)</f>
        <v>0</v>
      </c>
      <c r="P27" s="651" t="str">
        <f t="shared" si="38"/>
        <v/>
      </c>
      <c r="Q27" s="504">
        <f>IFERROR(INDEX('Labor Hours and Deliverables'!$A$1:$Z$295,MATCH('Labor Costs'!Q$17,'Labor Hours and Deliverables'!$C$1:$C$295,0),MATCH($B27,'Labor Hours and Deliverables'!$A$8:$Z$8,0)),0)</f>
        <v>0</v>
      </c>
      <c r="R27" s="651" t="str">
        <f t="shared" si="39"/>
        <v/>
      </c>
      <c r="S27" s="504">
        <f>IFERROR(INDEX('Labor Hours and Deliverables'!$A$1:$Z$295,MATCH('Labor Costs'!S$17,'Labor Hours and Deliverables'!$C$1:$C$295,0),MATCH($B27,'Labor Hours and Deliverables'!$A$8:$Z$8,0)),0)</f>
        <v>0</v>
      </c>
      <c r="T27" s="651" t="str">
        <f t="shared" si="40"/>
        <v/>
      </c>
      <c r="U27" s="504">
        <f>IFERROR(INDEX('Labor Hours and Deliverables'!$A$1:$Z$295,MATCH('Labor Costs'!U$17,'Labor Hours and Deliverables'!$C$1:$C$295,0),MATCH($B27,'Labor Hours and Deliverables'!$A$8:$Z$8,0)),0)</f>
        <v>0</v>
      </c>
      <c r="V27" s="651" t="str">
        <f t="shared" si="41"/>
        <v/>
      </c>
      <c r="W27" s="505">
        <f t="shared" si="10"/>
        <v>0</v>
      </c>
      <c r="X27" s="655">
        <f t="shared" si="11"/>
        <v>0</v>
      </c>
      <c r="Y27" s="506" t="str">
        <f t="shared" si="42"/>
        <v>OK</v>
      </c>
      <c r="Z27" s="507">
        <f>'Labor Hours and Deliverables'!N91</f>
        <v>0</v>
      </c>
    </row>
    <row r="28" spans="1:26" ht="15" customHeight="1">
      <c r="A28" s="501" t="str">
        <f>'Labor Hours and Deliverables'!O7</f>
        <v>Unspecified</v>
      </c>
      <c r="B28" s="502" t="str">
        <f>'Labor Hours and Deliverables'!O8</f>
        <v>-</v>
      </c>
      <c r="C28" s="503" t="str">
        <f>IFERROR(IF($A28&lt;&gt;"",VLOOKUP($A28,Rates!$H$7:$I$28,2,FALSE),""),"")</f>
        <v>-</v>
      </c>
      <c r="D28" s="650" t="str">
        <f>IFERROR(VLOOKUP($B28,Rates!$A:$D,4,FALSE),"")</f>
        <v xml:space="preserve"> </v>
      </c>
      <c r="E28" s="504">
        <f>IFERROR(INDEX('Labor Hours and Deliverables'!$A$1:$Z$295,MATCH('Labor Costs'!E$17,'Labor Hours and Deliverables'!$C$1:$C$295,0),MATCH($B28,'Labor Hours and Deliverables'!$A$8:$Z$8,0)),0)</f>
        <v>0</v>
      </c>
      <c r="F28" s="651" t="str">
        <f t="shared" si="33"/>
        <v/>
      </c>
      <c r="G28" s="504">
        <f>IFERROR(INDEX('Labor Hours and Deliverables'!$A$1:$Z$295,MATCH('Labor Costs'!G$17,'Labor Hours and Deliverables'!$C$1:$C$295,0),MATCH($B28,'Labor Hours and Deliverables'!$A$8:$Z$8,0)),0)</f>
        <v>0</v>
      </c>
      <c r="H28" s="651" t="str">
        <f t="shared" si="34"/>
        <v/>
      </c>
      <c r="I28" s="504">
        <f>IFERROR(INDEX('Labor Hours and Deliverables'!$A$1:$Z$295,MATCH('Labor Costs'!I$17,'Labor Hours and Deliverables'!$C$1:$C$295,0),MATCH($B28,'Labor Hours and Deliverables'!$A$8:$Z$8,0)),0)</f>
        <v>0</v>
      </c>
      <c r="J28" s="651" t="str">
        <f t="shared" si="35"/>
        <v/>
      </c>
      <c r="K28" s="504">
        <f>IFERROR(INDEX('Labor Hours and Deliverables'!$A$1:$Z$295,MATCH('Labor Costs'!K$17,'Labor Hours and Deliverables'!$C$1:$C$295,0),MATCH($B28,'Labor Hours and Deliverables'!$A$8:$Z$8,0)),0)</f>
        <v>0</v>
      </c>
      <c r="L28" s="651" t="str">
        <f t="shared" si="36"/>
        <v/>
      </c>
      <c r="M28" s="504">
        <f>IFERROR(INDEX('Labor Hours and Deliverables'!$A$1:$Z$295,MATCH('Labor Costs'!M$17,'Labor Hours and Deliverables'!$C$1:$C$295,0),MATCH($B28,'Labor Hours and Deliverables'!$A$8:$Z$8,0)),0)</f>
        <v>0</v>
      </c>
      <c r="N28" s="651" t="str">
        <f t="shared" si="37"/>
        <v/>
      </c>
      <c r="O28" s="504">
        <f>IFERROR(INDEX('Labor Hours and Deliverables'!$A$1:$Z$295,MATCH('Labor Costs'!O$17,'Labor Hours and Deliverables'!$C$1:$C$295,0),MATCH($B28,'Labor Hours and Deliverables'!$A$8:$Z$8,0)),0)</f>
        <v>0</v>
      </c>
      <c r="P28" s="651" t="str">
        <f t="shared" si="38"/>
        <v/>
      </c>
      <c r="Q28" s="504">
        <f>IFERROR(INDEX('Labor Hours and Deliverables'!$A$1:$Z$295,MATCH('Labor Costs'!Q$17,'Labor Hours and Deliverables'!$C$1:$C$295,0),MATCH($B28,'Labor Hours and Deliverables'!$A$8:$Z$8,0)),0)</f>
        <v>0</v>
      </c>
      <c r="R28" s="651" t="str">
        <f t="shared" si="39"/>
        <v/>
      </c>
      <c r="S28" s="504">
        <f>IFERROR(INDEX('Labor Hours and Deliverables'!$A$1:$Z$295,MATCH('Labor Costs'!S$17,'Labor Hours and Deliverables'!$C$1:$C$295,0),MATCH($B28,'Labor Hours and Deliverables'!$A$8:$Z$8,0)),0)</f>
        <v>0</v>
      </c>
      <c r="T28" s="651" t="str">
        <f t="shared" si="40"/>
        <v/>
      </c>
      <c r="U28" s="504">
        <f>IFERROR(INDEX('Labor Hours and Deliverables'!$A$1:$Z$295,MATCH('Labor Costs'!U$17,'Labor Hours and Deliverables'!$C$1:$C$295,0),MATCH($B28,'Labor Hours and Deliverables'!$A$8:$Z$8,0)),0)</f>
        <v>0</v>
      </c>
      <c r="V28" s="651" t="str">
        <f t="shared" si="41"/>
        <v/>
      </c>
      <c r="W28" s="505">
        <f t="shared" si="10"/>
        <v>0</v>
      </c>
      <c r="X28" s="656">
        <f t="shared" si="11"/>
        <v>0</v>
      </c>
      <c r="Y28" s="506" t="str">
        <f>IF(W28=Z28,"OK","Error")</f>
        <v>OK</v>
      </c>
      <c r="Z28" s="507">
        <f>'Labor Hours and Deliverables'!O91</f>
        <v>0</v>
      </c>
    </row>
    <row r="29" spans="1:26" ht="15" customHeight="1" thickBot="1">
      <c r="A29" s="508" t="str">
        <f>'Labor Hours and Deliverables'!P7</f>
        <v>Unspecified</v>
      </c>
      <c r="B29" s="502" t="str">
        <f>'Labor Hours and Deliverables'!P8</f>
        <v>-</v>
      </c>
      <c r="C29" s="503" t="str">
        <f>IFERROR(IF($A29&lt;&gt;"",VLOOKUP($A29,Rates!$H$7:$I$28,2,FALSE),""),"")</f>
        <v>-</v>
      </c>
      <c r="D29" s="650" t="str">
        <f>IFERROR(VLOOKUP($B29,Rates!$A:$D,4,FALSE),"")</f>
        <v xml:space="preserve"> </v>
      </c>
      <c r="E29" s="504">
        <f>IFERROR(INDEX('Labor Hours and Deliverables'!$A$1:$Z$295,MATCH('Labor Costs'!E$17,'Labor Hours and Deliverables'!$C$1:$C$295,0),MATCH($B29,'Labor Hours and Deliverables'!$A$8:$Z$8,0)),0)</f>
        <v>0</v>
      </c>
      <c r="F29" s="651" t="str">
        <f t="shared" si="33"/>
        <v/>
      </c>
      <c r="G29" s="504">
        <f>IFERROR(INDEX('Labor Hours and Deliverables'!$A$1:$Z$295,MATCH('Labor Costs'!G$17,'Labor Hours and Deliverables'!$C$1:$C$295,0),MATCH($B29,'Labor Hours and Deliverables'!$A$8:$Z$8,0)),0)</f>
        <v>0</v>
      </c>
      <c r="H29" s="651" t="str">
        <f t="shared" si="34"/>
        <v/>
      </c>
      <c r="I29" s="504">
        <f>IFERROR(INDEX('Labor Hours and Deliverables'!$A$1:$Z$295,MATCH('Labor Costs'!I$17,'Labor Hours and Deliverables'!$C$1:$C$295,0),MATCH($B29,'Labor Hours and Deliverables'!$A$8:$Z$8,0)),0)</f>
        <v>0</v>
      </c>
      <c r="J29" s="651" t="str">
        <f t="shared" si="35"/>
        <v/>
      </c>
      <c r="K29" s="504">
        <f>IFERROR(INDEX('Labor Hours and Deliverables'!$A$1:$Z$295,MATCH('Labor Costs'!K$17,'Labor Hours and Deliverables'!$C$1:$C$295,0),MATCH($B29,'Labor Hours and Deliverables'!$A$8:$Z$8,0)),0)</f>
        <v>0</v>
      </c>
      <c r="L29" s="651" t="str">
        <f t="shared" si="36"/>
        <v/>
      </c>
      <c r="M29" s="504">
        <f>IFERROR(INDEX('Labor Hours and Deliverables'!$A$1:$Z$295,MATCH('Labor Costs'!M$17,'Labor Hours and Deliverables'!$C$1:$C$295,0),MATCH($B29,'Labor Hours and Deliverables'!$A$8:$Z$8,0)),0)</f>
        <v>0</v>
      </c>
      <c r="N29" s="651" t="str">
        <f t="shared" si="37"/>
        <v/>
      </c>
      <c r="O29" s="504">
        <f>IFERROR(INDEX('Labor Hours and Deliverables'!$A$1:$Z$295,MATCH('Labor Costs'!O$17,'Labor Hours and Deliverables'!$C$1:$C$295,0),MATCH($B29,'Labor Hours and Deliverables'!$A$8:$Z$8,0)),0)</f>
        <v>0</v>
      </c>
      <c r="P29" s="651" t="str">
        <f t="shared" si="38"/>
        <v/>
      </c>
      <c r="Q29" s="504">
        <f>IFERROR(INDEX('Labor Hours and Deliverables'!$A$1:$Z$295,MATCH('Labor Costs'!Q$17,'Labor Hours and Deliverables'!$C$1:$C$295,0),MATCH($B29,'Labor Hours and Deliverables'!$A$8:$Z$8,0)),0)</f>
        <v>0</v>
      </c>
      <c r="R29" s="651" t="str">
        <f t="shared" si="39"/>
        <v/>
      </c>
      <c r="S29" s="504">
        <f>IFERROR(INDEX('Labor Hours and Deliverables'!$A$1:$Z$295,MATCH('Labor Costs'!S$17,'Labor Hours and Deliverables'!$C$1:$C$295,0),MATCH($B29,'Labor Hours and Deliverables'!$A$8:$Z$8,0)),0)</f>
        <v>0</v>
      </c>
      <c r="T29" s="651" t="str">
        <f t="shared" si="40"/>
        <v/>
      </c>
      <c r="U29" s="504">
        <f>IFERROR(INDEX('Labor Hours and Deliverables'!$A$1:$Z$295,MATCH('Labor Costs'!U$17,'Labor Hours and Deliverables'!$C$1:$C$295,0),MATCH($B29,'Labor Hours and Deliverables'!$A$8:$Z$8,0)),0)</f>
        <v>0</v>
      </c>
      <c r="V29" s="651" t="str">
        <f t="shared" si="41"/>
        <v/>
      </c>
      <c r="W29" s="505">
        <f t="shared" si="10"/>
        <v>0</v>
      </c>
      <c r="X29" s="657">
        <f t="shared" si="11"/>
        <v>0</v>
      </c>
      <c r="Y29" s="506" t="str">
        <f t="shared" ref="Y29" si="43">IF(W29=Z29,"OK","Error")</f>
        <v>OK</v>
      </c>
      <c r="Z29" s="507">
        <f>'Labor Hours and Deliverables'!P91</f>
        <v>0</v>
      </c>
    </row>
    <row r="30" spans="1:26" s="513" customFormat="1" ht="15" customHeight="1" thickTop="1" thickBot="1">
      <c r="A30" s="700" t="s">
        <v>8</v>
      </c>
      <c r="B30" s="701"/>
      <c r="C30" s="509"/>
      <c r="D30" s="510"/>
      <c r="E30" s="511">
        <f t="shared" ref="E30:X30" si="44">SUM(E19:E29)</f>
        <v>322</v>
      </c>
      <c r="F30" s="652">
        <f t="shared" si="44"/>
        <v>32560</v>
      </c>
      <c r="G30" s="512">
        <f t="shared" si="44"/>
        <v>185</v>
      </c>
      <c r="H30" s="652">
        <f t="shared" si="44"/>
        <v>27060</v>
      </c>
      <c r="I30" s="512">
        <f t="shared" si="44"/>
        <v>0</v>
      </c>
      <c r="J30" s="652">
        <f t="shared" si="44"/>
        <v>0</v>
      </c>
      <c r="K30" s="512">
        <f t="shared" si="44"/>
        <v>0</v>
      </c>
      <c r="L30" s="652">
        <f t="shared" si="44"/>
        <v>0</v>
      </c>
      <c r="M30" s="512">
        <f t="shared" si="44"/>
        <v>0</v>
      </c>
      <c r="N30" s="652">
        <f t="shared" si="44"/>
        <v>0</v>
      </c>
      <c r="O30" s="512">
        <f t="shared" si="44"/>
        <v>0</v>
      </c>
      <c r="P30" s="652">
        <f t="shared" si="44"/>
        <v>0</v>
      </c>
      <c r="Q30" s="512">
        <f t="shared" si="44"/>
        <v>0</v>
      </c>
      <c r="R30" s="652">
        <f t="shared" si="44"/>
        <v>0</v>
      </c>
      <c r="S30" s="512">
        <f t="shared" si="44"/>
        <v>0</v>
      </c>
      <c r="T30" s="652">
        <f t="shared" si="44"/>
        <v>0</v>
      </c>
      <c r="U30" s="512">
        <f t="shared" si="44"/>
        <v>0</v>
      </c>
      <c r="V30" s="652">
        <f t="shared" si="44"/>
        <v>0</v>
      </c>
      <c r="W30" s="512">
        <f t="shared" si="44"/>
        <v>507</v>
      </c>
      <c r="X30" s="653">
        <f t="shared" si="44"/>
        <v>59620</v>
      </c>
    </row>
    <row r="31" spans="1:26" ht="14" thickTop="1"/>
    <row r="33" spans="5:22" hidden="1">
      <c r="E33" s="495">
        <v>1</v>
      </c>
      <c r="F33" s="515">
        <v>0</v>
      </c>
      <c r="G33" s="495">
        <v>1</v>
      </c>
      <c r="H33" s="515">
        <v>0</v>
      </c>
      <c r="I33" s="495">
        <v>1</v>
      </c>
      <c r="J33" s="515">
        <v>0</v>
      </c>
      <c r="K33" s="495">
        <v>1</v>
      </c>
      <c r="L33" s="515">
        <v>0</v>
      </c>
      <c r="M33" s="495">
        <v>1</v>
      </c>
      <c r="N33" s="515">
        <v>0</v>
      </c>
      <c r="O33" s="495">
        <v>1</v>
      </c>
      <c r="P33" s="515">
        <v>0</v>
      </c>
      <c r="Q33" s="495">
        <v>1</v>
      </c>
      <c r="R33" s="515">
        <v>0</v>
      </c>
      <c r="S33" s="495">
        <v>1</v>
      </c>
      <c r="T33" s="515">
        <v>0</v>
      </c>
      <c r="U33" s="495">
        <v>1</v>
      </c>
      <c r="V33" s="515">
        <v>0</v>
      </c>
    </row>
    <row r="34" spans="5:22" hidden="1">
      <c r="E34" s="495">
        <v>0</v>
      </c>
      <c r="F34" s="515">
        <v>1</v>
      </c>
      <c r="G34" s="495">
        <v>0</v>
      </c>
      <c r="H34" s="515">
        <v>1</v>
      </c>
      <c r="I34" s="495">
        <v>0</v>
      </c>
      <c r="J34" s="515">
        <v>1</v>
      </c>
      <c r="K34" s="495">
        <v>0</v>
      </c>
      <c r="L34" s="515">
        <v>1</v>
      </c>
      <c r="M34" s="495">
        <v>0</v>
      </c>
      <c r="N34" s="515">
        <v>1</v>
      </c>
      <c r="O34" s="495">
        <v>0</v>
      </c>
      <c r="P34" s="515">
        <v>1</v>
      </c>
      <c r="Q34" s="495">
        <v>0</v>
      </c>
      <c r="R34" s="515">
        <v>1</v>
      </c>
      <c r="S34" s="495">
        <v>0</v>
      </c>
      <c r="T34" s="515">
        <v>1</v>
      </c>
      <c r="U34" s="495">
        <v>0</v>
      </c>
      <c r="V34" s="515">
        <v>1</v>
      </c>
    </row>
  </sheetData>
  <mergeCells count="1">
    <mergeCell ref="A30:B30"/>
  </mergeCells>
  <phoneticPr fontId="3" type="noConversion"/>
  <conditionalFormatting sqref="W23:W29">
    <cfRule type="expression" dxfId="45" priority="10" stopIfTrue="1">
      <formula>$W23&lt;&gt;$Z23</formula>
    </cfRule>
  </conditionalFormatting>
  <conditionalFormatting sqref="W22">
    <cfRule type="expression" dxfId="44" priority="6" stopIfTrue="1">
      <formula>$W22&lt;&gt;$Z22</formula>
    </cfRule>
  </conditionalFormatting>
  <conditionalFormatting sqref="W21">
    <cfRule type="expression" dxfId="43" priority="5" stopIfTrue="1">
      <formula>$W21&lt;&gt;$Z21</formula>
    </cfRule>
  </conditionalFormatting>
  <conditionalFormatting sqref="W20">
    <cfRule type="expression" dxfId="42" priority="4" stopIfTrue="1">
      <formula>$W20&lt;&gt;$Z20</formula>
    </cfRule>
  </conditionalFormatting>
  <conditionalFormatting sqref="W19">
    <cfRule type="expression" dxfId="41" priority="3" stopIfTrue="1">
      <formula>$W19&lt;&gt;$Z19</formula>
    </cfRule>
  </conditionalFormatting>
  <pageMargins left="0.75" right="0.75" top="1" bottom="1" header="0.5" footer="0.5"/>
  <pageSetup scale="45"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4 of 9
&amp;T  &amp;D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2060"/>
    <pageSetUpPr fitToPage="1"/>
  </sheetPr>
  <dimension ref="A1:AS150"/>
  <sheetViews>
    <sheetView zoomScaleNormal="100" zoomScaleSheetLayoutView="100" workbookViewId="0">
      <selection activeCell="D23" sqref="D23"/>
    </sheetView>
  </sheetViews>
  <sheetFormatPr baseColWidth="10" defaultColWidth="8.83203125" defaultRowHeight="11"/>
  <cols>
    <col min="1" max="3" width="14" style="87" customWidth="1"/>
    <col min="4" max="4" width="32" style="87" customWidth="1"/>
    <col min="5" max="5" width="20.6640625" style="87" customWidth="1"/>
    <col min="6" max="6" width="18.33203125" style="84" customWidth="1"/>
    <col min="7" max="7" width="14.33203125" style="84" customWidth="1"/>
    <col min="8" max="14" width="10.83203125" style="84" customWidth="1"/>
    <col min="15" max="16" width="10.83203125" style="85" customWidth="1"/>
    <col min="17" max="18" width="10.83203125" style="86" customWidth="1"/>
    <col min="19" max="21" width="10.83203125" style="87" customWidth="1"/>
    <col min="22" max="22" width="10.83203125" style="84" customWidth="1"/>
    <col min="23" max="23" width="8.83203125" style="87" customWidth="1"/>
    <col min="24" max="16384" width="8.83203125" style="84"/>
  </cols>
  <sheetData>
    <row r="1" spans="1:31" ht="20">
      <c r="B1" s="554" t="str">
        <f>'Task Order Setup'!C1</f>
        <v>Task Order No. 1 Mod 0: General Consulting Services</v>
      </c>
      <c r="C1" s="79"/>
      <c r="D1" s="79"/>
      <c r="E1" s="79"/>
      <c r="F1" s="80"/>
      <c r="G1" s="81"/>
      <c r="H1" s="80"/>
      <c r="I1" s="82"/>
      <c r="J1" s="80"/>
      <c r="K1" s="83"/>
    </row>
    <row r="2" spans="1:31" ht="20">
      <c r="B2" s="555" t="str">
        <f>'Task Order Setup'!C2</f>
        <v>Agreement No. 47557A, Project No. 600</v>
      </c>
      <c r="C2" s="79"/>
      <c r="D2" s="79"/>
      <c r="E2" s="79"/>
      <c r="F2" s="80"/>
      <c r="G2" s="81"/>
      <c r="H2" s="80"/>
      <c r="I2" s="83"/>
      <c r="J2" s="80"/>
      <c r="K2" s="83"/>
    </row>
    <row r="3" spans="1:31" ht="19">
      <c r="B3" s="553" t="str">
        <f>'Task Order Setup'!C3</f>
        <v>Effective Period: 10/01/19-10/31/19</v>
      </c>
      <c r="C3" s="6"/>
      <c r="D3" s="6"/>
      <c r="E3" s="6"/>
      <c r="F3" s="88"/>
      <c r="G3" s="89"/>
      <c r="H3" s="90"/>
      <c r="I3" s="90"/>
      <c r="J3" s="91"/>
      <c r="K3" s="91"/>
      <c r="AE3" s="92"/>
    </row>
    <row r="4" spans="1:31" customFormat="1" ht="13">
      <c r="W4" s="373"/>
    </row>
    <row r="5" spans="1:31" ht="19">
      <c r="A5" s="363" t="s">
        <v>122</v>
      </c>
      <c r="B5" s="6"/>
      <c r="C5" s="6"/>
      <c r="D5" s="6"/>
      <c r="E5" s="6"/>
      <c r="F5" s="88"/>
      <c r="G5" s="89"/>
      <c r="H5" s="90"/>
      <c r="I5" s="90"/>
      <c r="J5" s="91"/>
      <c r="K5" s="91"/>
      <c r="AE5" s="92"/>
    </row>
    <row r="6" spans="1:31" s="103" customFormat="1" ht="16">
      <c r="A6" s="107"/>
      <c r="B6" s="93"/>
      <c r="C6" s="93"/>
      <c r="D6" s="93"/>
      <c r="E6" s="94"/>
      <c r="F6" s="94"/>
      <c r="G6" s="60"/>
      <c r="H6" s="95"/>
      <c r="I6" s="96"/>
      <c r="J6" s="95"/>
      <c r="K6" s="96"/>
      <c r="L6" s="97"/>
      <c r="M6" s="98"/>
      <c r="N6" s="95"/>
      <c r="O6" s="99"/>
      <c r="P6" s="99"/>
      <c r="Q6" s="100"/>
      <c r="R6" s="101"/>
      <c r="S6" s="102"/>
      <c r="T6" s="102"/>
      <c r="U6" s="102"/>
      <c r="V6" s="107"/>
      <c r="W6" s="374"/>
      <c r="AE6" s="104"/>
    </row>
    <row r="7" spans="1:31" s="103" customFormat="1" ht="12.75" customHeight="1">
      <c r="A7" s="361" t="str">
        <f>'Task Order Setup'!A7</f>
        <v>Subtask No. 1</v>
      </c>
      <c r="B7" s="115" t="str">
        <f>VLOOKUP($A7,'Task Order Setup'!$A$6:$C$22,3,FALSE)</f>
        <v>Consulting Services</v>
      </c>
      <c r="C7" s="161">
        <f t="shared" ref="C7:C15" si="0">SUMIFS($U:$U,$D:$D,$A7)</f>
        <v>1718</v>
      </c>
      <c r="D7" s="161"/>
      <c r="E7" s="107"/>
      <c r="F7" s="108"/>
      <c r="G7" s="109"/>
      <c r="H7" s="377"/>
      <c r="I7" s="378"/>
      <c r="J7" s="112"/>
      <c r="K7" s="112"/>
      <c r="L7" s="113"/>
      <c r="M7" s="357"/>
      <c r="N7" s="115"/>
      <c r="O7" s="116"/>
      <c r="P7" s="117"/>
      <c r="Q7" s="100"/>
      <c r="R7" s="101"/>
      <c r="S7" s="102"/>
      <c r="T7" s="102"/>
      <c r="U7" s="102"/>
      <c r="V7" s="379"/>
      <c r="W7" s="374"/>
      <c r="AE7" s="104"/>
    </row>
    <row r="8" spans="1:31" s="103" customFormat="1" ht="12.75" customHeight="1">
      <c r="A8" s="361" t="str">
        <f>'Task Order Setup'!A8</f>
        <v>Subtask No. 2</v>
      </c>
      <c r="B8" s="105" t="str">
        <f>VLOOKUP($A8,'Task Order Setup'!$A$6:$C$22,3,FALSE)</f>
        <v>Monitoring Services</v>
      </c>
      <c r="C8" s="106">
        <f t="shared" si="0"/>
        <v>2134</v>
      </c>
      <c r="D8" s="106"/>
      <c r="F8" s="108"/>
      <c r="G8" s="109"/>
      <c r="H8" s="110"/>
      <c r="I8" s="111"/>
      <c r="J8" s="109"/>
      <c r="K8" s="109"/>
      <c r="L8" s="357"/>
      <c r="M8" s="109"/>
      <c r="N8" s="115"/>
      <c r="O8" s="116"/>
      <c r="P8" s="117"/>
      <c r="Q8" s="100"/>
      <c r="R8" s="101"/>
      <c r="S8" s="102"/>
      <c r="T8" s="102"/>
      <c r="U8" s="102"/>
      <c r="V8" s="379"/>
      <c r="W8" s="374"/>
      <c r="AE8" s="92"/>
    </row>
    <row r="9" spans="1:31" s="103" customFormat="1" ht="12.75" customHeight="1">
      <c r="A9" s="361" t="str">
        <f>'Task Order Setup'!A9</f>
        <v>Subtask No. 3</v>
      </c>
      <c r="B9" s="105" t="str">
        <f>VLOOKUP($A9,'Task Order Setup'!$A$6:$C$22,3,FALSE)</f>
        <v>Project Management</v>
      </c>
      <c r="C9" s="106">
        <f t="shared" si="0"/>
        <v>0</v>
      </c>
      <c r="D9" s="106"/>
      <c r="F9" s="108"/>
      <c r="G9" s="109"/>
      <c r="H9" s="110"/>
      <c r="I9" s="111"/>
      <c r="J9" s="109"/>
      <c r="K9" s="109"/>
      <c r="L9" s="357"/>
      <c r="M9" s="109"/>
      <c r="N9" s="115"/>
      <c r="O9" s="116"/>
      <c r="P9" s="117"/>
      <c r="Q9" s="100"/>
      <c r="R9" s="101"/>
      <c r="S9" s="102"/>
      <c r="T9" s="102"/>
      <c r="U9" s="102"/>
      <c r="V9" s="379"/>
      <c r="W9" s="374"/>
      <c r="AE9" s="92"/>
    </row>
    <row r="10" spans="1:31" s="103" customFormat="1" ht="12.75" customHeight="1">
      <c r="A10" s="361" t="str">
        <f>'Task Order Setup'!A10</f>
        <v>Subtask No. 4</v>
      </c>
      <c r="B10" s="105" t="str">
        <f>VLOOKUP($A10,'Task Order Setup'!$A$6:$C$22,3,FALSE)</f>
        <v>.</v>
      </c>
      <c r="C10" s="106">
        <f t="shared" si="0"/>
        <v>0</v>
      </c>
      <c r="D10" s="106"/>
      <c r="F10" s="108"/>
      <c r="G10" s="109"/>
      <c r="H10" s="110"/>
      <c r="I10" s="111"/>
      <c r="J10" s="109"/>
      <c r="K10" s="109"/>
      <c r="L10" s="357"/>
      <c r="M10" s="109"/>
      <c r="N10" s="115"/>
      <c r="O10" s="116"/>
      <c r="P10" s="117"/>
      <c r="Q10" s="100"/>
      <c r="R10" s="101"/>
      <c r="S10" s="102"/>
      <c r="T10" s="102"/>
      <c r="U10" s="102"/>
      <c r="V10" s="379"/>
      <c r="W10" s="374"/>
      <c r="AE10" s="92"/>
    </row>
    <row r="11" spans="1:31" s="103" customFormat="1" ht="12.75" customHeight="1">
      <c r="A11" s="361" t="str">
        <f>'Task Order Setup'!A11</f>
        <v>Subtask No. 5</v>
      </c>
      <c r="B11" s="105" t="str">
        <f>VLOOKUP($A11,'Task Order Setup'!$A$6:$C$22,3,FALSE)</f>
        <v>.</v>
      </c>
      <c r="C11" s="106">
        <f t="shared" si="0"/>
        <v>0</v>
      </c>
      <c r="D11" s="106"/>
      <c r="F11" s="108"/>
      <c r="G11" s="109"/>
      <c r="H11" s="110"/>
      <c r="I11" s="111"/>
      <c r="J11" s="109"/>
      <c r="K11" s="109"/>
      <c r="L11" s="114"/>
      <c r="M11" s="109"/>
      <c r="N11" s="115"/>
      <c r="O11" s="116"/>
      <c r="P11" s="117"/>
      <c r="Q11" s="100"/>
      <c r="R11" s="101"/>
      <c r="S11" s="102"/>
      <c r="T11" s="102"/>
      <c r="U11" s="102"/>
      <c r="V11" s="379"/>
      <c r="W11" s="374"/>
      <c r="AE11" s="92"/>
    </row>
    <row r="12" spans="1:31" s="103" customFormat="1" ht="12.75" customHeight="1">
      <c r="A12" s="361" t="str">
        <f>'Task Order Setup'!A12</f>
        <v>Subtask No. 6</v>
      </c>
      <c r="B12" s="105" t="str">
        <f>VLOOKUP($A12,'Task Order Setup'!$A$6:$C$22,3,FALSE)</f>
        <v>.</v>
      </c>
      <c r="C12" s="106">
        <f t="shared" si="0"/>
        <v>0</v>
      </c>
      <c r="D12" s="106"/>
      <c r="F12" s="108"/>
      <c r="G12" s="109"/>
      <c r="H12" s="110"/>
      <c r="I12" s="111"/>
      <c r="J12" s="109"/>
      <c r="K12" s="109"/>
      <c r="L12" s="114"/>
      <c r="M12" s="109"/>
      <c r="N12" s="115"/>
      <c r="O12" s="116"/>
      <c r="P12" s="117"/>
      <c r="Q12" s="100"/>
      <c r="R12" s="101"/>
      <c r="S12" s="102"/>
      <c r="T12" s="102"/>
      <c r="U12" s="102"/>
      <c r="V12" s="379"/>
      <c r="W12" s="374"/>
      <c r="AE12" s="92"/>
    </row>
    <row r="13" spans="1:31" s="103" customFormat="1" ht="13">
      <c r="A13" s="361" t="str">
        <f>'Task Order Setup'!A13</f>
        <v>Subtask No. 7</v>
      </c>
      <c r="B13" s="105" t="str">
        <f>VLOOKUP($A13,'Task Order Setup'!$A$6:$C$22,3,FALSE)</f>
        <v>.</v>
      </c>
      <c r="C13" s="106">
        <f t="shared" si="0"/>
        <v>0</v>
      </c>
      <c r="D13" s="106"/>
      <c r="F13" s="108"/>
      <c r="G13" s="109"/>
      <c r="H13" s="110"/>
      <c r="I13" s="111"/>
      <c r="J13" s="109"/>
      <c r="K13" s="109"/>
      <c r="L13" s="114"/>
      <c r="M13" s="109"/>
      <c r="N13" s="115"/>
      <c r="O13" s="116"/>
      <c r="P13" s="117"/>
      <c r="Q13" s="100"/>
      <c r="R13" s="101"/>
      <c r="S13" s="102"/>
      <c r="T13" s="102"/>
      <c r="U13" s="102"/>
      <c r="V13" s="379"/>
      <c r="W13" s="374"/>
      <c r="AE13" s="92"/>
    </row>
    <row r="14" spans="1:31" s="103" customFormat="1" ht="12.75" customHeight="1" thickBot="1">
      <c r="A14" s="361" t="str">
        <f>'Task Order Setup'!A14</f>
        <v>Subtask No. 8</v>
      </c>
      <c r="B14" s="105" t="str">
        <f>VLOOKUP($A14,'Task Order Setup'!$A$6:$C$22,3,FALSE)</f>
        <v>.</v>
      </c>
      <c r="C14" s="106">
        <f t="shared" si="0"/>
        <v>0</v>
      </c>
      <c r="D14" s="106"/>
      <c r="F14" s="108"/>
      <c r="G14" s="109"/>
      <c r="H14" s="110"/>
      <c r="I14" s="111"/>
      <c r="J14" s="109"/>
      <c r="K14" s="109"/>
      <c r="L14" s="388" t="s">
        <v>60</v>
      </c>
      <c r="M14" s="389"/>
      <c r="N14" s="389"/>
      <c r="O14" s="389"/>
      <c r="Q14" s="100"/>
      <c r="R14" s="101"/>
      <c r="S14" s="102"/>
      <c r="T14" s="102"/>
      <c r="U14" s="102"/>
      <c r="V14" s="379"/>
      <c r="W14" s="374"/>
      <c r="AE14" s="92"/>
    </row>
    <row r="15" spans="1:31" s="103" customFormat="1" ht="14" thickBot="1">
      <c r="A15" s="361" t="str">
        <f>'Task Order Setup'!A15</f>
        <v>Subtask No. 9</v>
      </c>
      <c r="B15" s="105" t="str">
        <f>VLOOKUP($A15,'Task Order Setup'!$A$6:$C$22,3,FALSE)</f>
        <v>.</v>
      </c>
      <c r="C15" s="106">
        <f t="shared" si="0"/>
        <v>0</v>
      </c>
      <c r="D15" s="106"/>
      <c r="F15" s="108"/>
      <c r="G15" s="109"/>
      <c r="H15" s="110"/>
      <c r="I15" s="111"/>
      <c r="J15" s="113"/>
      <c r="K15" s="113"/>
      <c r="L15" s="381">
        <v>650</v>
      </c>
      <c r="M15" s="382">
        <v>170</v>
      </c>
      <c r="N15" s="383">
        <f>+'Travel Rates'!D12</f>
        <v>180</v>
      </c>
      <c r="O15" s="384">
        <f>'Travel Rates'!$E$12</f>
        <v>66</v>
      </c>
      <c r="Q15" s="100"/>
      <c r="R15" s="101"/>
      <c r="S15" s="102"/>
      <c r="T15" s="102"/>
      <c r="U15" s="102"/>
      <c r="V15" s="379"/>
      <c r="W15" s="374"/>
      <c r="AE15" s="92"/>
    </row>
    <row r="16" spans="1:31" s="132" customFormat="1" ht="14" thickBot="1">
      <c r="A16" s="337"/>
      <c r="B16" s="118"/>
      <c r="C16" s="118"/>
      <c r="D16" s="118"/>
      <c r="E16" s="119"/>
      <c r="F16" s="120"/>
      <c r="G16" s="121"/>
      <c r="H16" s="122"/>
      <c r="I16" s="123"/>
      <c r="J16" s="124"/>
      <c r="K16" s="125"/>
      <c r="L16" s="126"/>
      <c r="M16" s="127"/>
      <c r="N16" s="128"/>
      <c r="O16" s="129"/>
      <c r="P16" s="129"/>
      <c r="Q16" s="130"/>
      <c r="R16" s="7"/>
      <c r="S16" s="131"/>
      <c r="T16" s="131"/>
      <c r="U16" s="131"/>
      <c r="V16" s="380"/>
      <c r="W16" s="375"/>
      <c r="AE16" s="92"/>
    </row>
    <row r="17" spans="1:45" ht="15" thickTop="1" thickBot="1">
      <c r="A17" s="338"/>
      <c r="B17" s="133"/>
      <c r="C17" s="133"/>
      <c r="D17" s="133"/>
      <c r="E17" s="134" t="s">
        <v>11</v>
      </c>
      <c r="F17" s="135"/>
      <c r="G17" s="134" t="s">
        <v>10</v>
      </c>
      <c r="H17" s="135"/>
      <c r="I17" s="136"/>
      <c r="J17" s="59"/>
      <c r="K17" s="137"/>
      <c r="L17" s="138" t="s">
        <v>12</v>
      </c>
      <c r="M17" s="177"/>
      <c r="N17" s="178"/>
      <c r="O17" s="178"/>
      <c r="P17" s="702" t="s">
        <v>13</v>
      </c>
      <c r="Q17" s="703"/>
      <c r="R17" s="703"/>
      <c r="S17" s="703"/>
      <c r="T17" s="703"/>
      <c r="U17" s="704"/>
      <c r="V17" s="179"/>
      <c r="AE17" s="92"/>
    </row>
    <row r="18" spans="1:45" ht="13">
      <c r="A18" s="339"/>
      <c r="B18" s="180"/>
      <c r="C18" s="180"/>
      <c r="D18" s="181"/>
      <c r="E18" s="182" t="s">
        <v>14</v>
      </c>
      <c r="F18" s="183"/>
      <c r="G18" s="184" t="s">
        <v>15</v>
      </c>
      <c r="H18" s="184" t="s">
        <v>16</v>
      </c>
      <c r="I18" s="184" t="s">
        <v>17</v>
      </c>
      <c r="J18" s="185" t="s">
        <v>18</v>
      </c>
      <c r="K18" s="184" t="s">
        <v>19</v>
      </c>
      <c r="L18" s="186" t="s">
        <v>20</v>
      </c>
      <c r="M18" s="184" t="s">
        <v>21</v>
      </c>
      <c r="N18" s="187" t="s">
        <v>22</v>
      </c>
      <c r="O18" s="188" t="s">
        <v>23</v>
      </c>
      <c r="P18" s="187" t="s">
        <v>24</v>
      </c>
      <c r="Q18" s="187" t="s">
        <v>25</v>
      </c>
      <c r="R18" s="184" t="s">
        <v>26</v>
      </c>
      <c r="S18" s="184" t="s">
        <v>27</v>
      </c>
      <c r="T18" s="189" t="s">
        <v>28</v>
      </c>
      <c r="U18" s="189"/>
      <c r="V18" s="179"/>
      <c r="AE18" s="62"/>
    </row>
    <row r="19" spans="1:45" ht="13">
      <c r="A19" s="340"/>
      <c r="B19" s="190"/>
      <c r="C19" s="190"/>
      <c r="D19" s="191"/>
      <c r="E19" s="192"/>
      <c r="F19" s="193"/>
      <c r="G19" s="194" t="s">
        <v>29</v>
      </c>
      <c r="H19" s="194" t="s">
        <v>2</v>
      </c>
      <c r="I19" s="194" t="s">
        <v>30</v>
      </c>
      <c r="J19" s="195" t="s">
        <v>31</v>
      </c>
      <c r="K19" s="194" t="s">
        <v>32</v>
      </c>
      <c r="L19" s="196"/>
      <c r="M19" s="194" t="s">
        <v>62</v>
      </c>
      <c r="N19" s="197"/>
      <c r="O19" s="198"/>
      <c r="P19" s="199" t="s">
        <v>33</v>
      </c>
      <c r="Q19" s="199" t="s">
        <v>33</v>
      </c>
      <c r="R19" s="194" t="s">
        <v>33</v>
      </c>
      <c r="S19" s="194" t="s">
        <v>34</v>
      </c>
      <c r="T19" s="200" t="s">
        <v>33</v>
      </c>
      <c r="U19" s="200" t="s">
        <v>35</v>
      </c>
      <c r="V19" s="179"/>
      <c r="AE19" s="62"/>
    </row>
    <row r="20" spans="1:45" ht="13">
      <c r="A20" s="341" t="s">
        <v>0</v>
      </c>
      <c r="B20" s="201"/>
      <c r="C20" s="201"/>
      <c r="D20" s="202"/>
      <c r="E20" s="194" t="s">
        <v>0</v>
      </c>
      <c r="F20" s="194" t="s">
        <v>0</v>
      </c>
      <c r="G20" s="194" t="s">
        <v>38</v>
      </c>
      <c r="H20" s="194" t="s">
        <v>39</v>
      </c>
      <c r="I20" s="194" t="s">
        <v>39</v>
      </c>
      <c r="J20" s="195" t="s">
        <v>40</v>
      </c>
      <c r="K20" s="194" t="s">
        <v>41</v>
      </c>
      <c r="L20" s="196" t="s">
        <v>42</v>
      </c>
      <c r="M20" s="194" t="s">
        <v>63</v>
      </c>
      <c r="N20" s="199"/>
      <c r="O20" s="203" t="s">
        <v>43</v>
      </c>
      <c r="P20" s="199" t="s">
        <v>42</v>
      </c>
      <c r="Q20" s="199" t="s">
        <v>44</v>
      </c>
      <c r="R20" s="194" t="s">
        <v>45</v>
      </c>
      <c r="S20" s="194" t="s">
        <v>46</v>
      </c>
      <c r="T20" s="200" t="s">
        <v>47</v>
      </c>
      <c r="U20" s="200" t="s">
        <v>7</v>
      </c>
      <c r="V20" s="179"/>
      <c r="W20" s="87" t="str">
        <f>IFERROR(LEFT($A20,FIND(".",$A20)),"")</f>
        <v/>
      </c>
      <c r="AE20" s="62"/>
    </row>
    <row r="21" spans="1:45" ht="14" thickBot="1">
      <c r="A21" s="342" t="s">
        <v>184</v>
      </c>
      <c r="B21" s="204" t="s">
        <v>77</v>
      </c>
      <c r="C21" s="204" t="s">
        <v>115</v>
      </c>
      <c r="D21" s="205" t="s">
        <v>61</v>
      </c>
      <c r="E21" s="206" t="s">
        <v>36</v>
      </c>
      <c r="F21" s="206" t="s">
        <v>37</v>
      </c>
      <c r="G21" s="206" t="s">
        <v>48</v>
      </c>
      <c r="H21" s="206" t="s">
        <v>49</v>
      </c>
      <c r="I21" s="206" t="s">
        <v>49</v>
      </c>
      <c r="J21" s="207" t="s">
        <v>50</v>
      </c>
      <c r="K21" s="206" t="s">
        <v>51</v>
      </c>
      <c r="L21" s="208" t="s">
        <v>51</v>
      </c>
      <c r="M21" s="206" t="s">
        <v>64</v>
      </c>
      <c r="N21" s="209" t="s">
        <v>46</v>
      </c>
      <c r="O21" s="210" t="s">
        <v>52</v>
      </c>
      <c r="P21" s="211" t="s">
        <v>53</v>
      </c>
      <c r="Q21" s="211" t="s">
        <v>54</v>
      </c>
      <c r="R21" s="212" t="str">
        <f>"(a)(e)" &amp; "("&amp;'Travel Rates'!B7&amp;")"</f>
        <v>(a)(e)(0.58)</v>
      </c>
      <c r="S21" s="213" t="s">
        <v>55</v>
      </c>
      <c r="T21" s="214" t="s">
        <v>56</v>
      </c>
      <c r="U21" s="214"/>
      <c r="V21" s="179"/>
      <c r="W21" s="87" t="str">
        <f t="shared" ref="W21:W22" si="1">IFERROR(LEFT($A21,FIND(".",$A21)),"")</f>
        <v/>
      </c>
      <c r="AE21" s="62"/>
    </row>
    <row r="22" spans="1:45" s="62" customFormat="1" ht="14" thickBot="1">
      <c r="A22" s="343">
        <v>1</v>
      </c>
      <c r="B22" s="66" t="str">
        <f>VLOOKUP(D28,'Task Order Setup'!$A$6:$C$23,3,FALSE)</f>
        <v>Consulting Services</v>
      </c>
      <c r="C22" s="14"/>
      <c r="D22" s="15"/>
      <c r="E22" s="58"/>
      <c r="F22" s="58"/>
      <c r="G22" s="58"/>
      <c r="H22" s="58"/>
      <c r="I22" s="58"/>
      <c r="J22" s="58"/>
      <c r="K22" s="172"/>
      <c r="L22" s="172"/>
      <c r="M22" s="172"/>
      <c r="N22" s="172"/>
      <c r="O22" s="172"/>
      <c r="P22" s="172"/>
      <c r="Q22" s="215"/>
      <c r="R22" s="216"/>
      <c r="S22" s="216"/>
      <c r="T22" s="216"/>
      <c r="U22" s="216"/>
      <c r="V22" s="179"/>
      <c r="W22" s="146" t="str">
        <f t="shared" si="1"/>
        <v/>
      </c>
      <c r="X22" s="84"/>
      <c r="Y22" s="84"/>
      <c r="Z22" s="84"/>
      <c r="AA22" s="84"/>
      <c r="AB22" s="84"/>
      <c r="AC22" s="84"/>
      <c r="AD22" s="84"/>
      <c r="AF22" s="84"/>
      <c r="AG22" s="84"/>
      <c r="AH22" s="84"/>
      <c r="AI22" s="84"/>
      <c r="AJ22" s="84"/>
      <c r="AK22" s="84"/>
      <c r="AL22" s="84"/>
      <c r="AM22" s="84"/>
      <c r="AN22" s="84"/>
      <c r="AO22" s="84"/>
      <c r="AP22" s="84"/>
      <c r="AQ22" s="84"/>
      <c r="AR22" s="84"/>
      <c r="AS22" s="84"/>
    </row>
    <row r="23" spans="1:45" s="104" customFormat="1" ht="29" thickTop="1">
      <c r="A23" s="683">
        <v>1.1000000000000001</v>
      </c>
      <c r="B23" s="268" t="s">
        <v>245</v>
      </c>
      <c r="C23" s="268" t="e">
        <f>IF(B23&lt;&gt;"",VLOOKUP($B23,Rates!$H$7:$I$23,2,FALSE),"")</f>
        <v>#N/A</v>
      </c>
      <c r="D23" s="269" t="s">
        <v>253</v>
      </c>
      <c r="E23" s="270" t="s">
        <v>94</v>
      </c>
      <c r="F23" s="217" t="s">
        <v>248</v>
      </c>
      <c r="G23" s="676">
        <v>1</v>
      </c>
      <c r="H23" s="218">
        <v>1</v>
      </c>
      <c r="I23" s="218">
        <v>3</v>
      </c>
      <c r="J23" s="218">
        <v>1</v>
      </c>
      <c r="K23" s="219">
        <v>0</v>
      </c>
      <c r="L23" s="271">
        <f>IF(E23&lt;&gt;"",VLOOKUP(E23,'Travel Rates'!$A$12:$B$17,2,FALSE),0)</f>
        <v>650</v>
      </c>
      <c r="M23" s="272">
        <f t="shared" ref="M23:N27" si="2">M$15</f>
        <v>170</v>
      </c>
      <c r="N23" s="272">
        <f t="shared" si="2"/>
        <v>180</v>
      </c>
      <c r="O23" s="273">
        <f>$O$15</f>
        <v>66</v>
      </c>
      <c r="P23" s="660">
        <f>((G23*H23)*L23)</f>
        <v>650</v>
      </c>
      <c r="Q23" s="660">
        <f>((G23*I23)*J23)*M23</f>
        <v>510</v>
      </c>
      <c r="R23" s="661">
        <f>(K23*G23)*'Travel Rates'!$B$7</f>
        <v>0</v>
      </c>
      <c r="S23" s="661">
        <f>(G23*H23)*(I23-1)*N23</f>
        <v>360</v>
      </c>
      <c r="T23" s="662">
        <f>((G23*H23)*I23)*O23</f>
        <v>198</v>
      </c>
      <c r="U23" s="662">
        <f>SUM(P23:T23)</f>
        <v>1718</v>
      </c>
      <c r="V23" s="179"/>
      <c r="W23" s="146" t="str">
        <f>IFERROR(LEFT($A23,FIND(".",$A23)),"")</f>
        <v>1.</v>
      </c>
      <c r="X23" s="84"/>
      <c r="Y23" s="84"/>
      <c r="Z23" s="84"/>
      <c r="AA23" s="84"/>
      <c r="AB23" s="84"/>
      <c r="AC23" s="84"/>
      <c r="AD23" s="84"/>
      <c r="AE23" s="62"/>
      <c r="AF23" s="84"/>
      <c r="AG23" s="84"/>
      <c r="AH23" s="84"/>
      <c r="AI23" s="84"/>
      <c r="AJ23" s="84"/>
      <c r="AK23" s="84"/>
      <c r="AL23" s="84"/>
      <c r="AM23" s="84"/>
      <c r="AN23" s="84"/>
      <c r="AO23" s="84"/>
      <c r="AP23" s="84"/>
      <c r="AQ23" s="84"/>
      <c r="AR23" s="84"/>
      <c r="AS23" s="84"/>
    </row>
    <row r="24" spans="1:45" s="104" customFormat="1" ht="12" customHeight="1">
      <c r="A24" s="683">
        <v>1.2</v>
      </c>
      <c r="B24" s="268" t="s">
        <v>79</v>
      </c>
      <c r="C24" s="268" t="str">
        <f>IF(B24&lt;&gt;"",VLOOKUP($B24,Rates!$H$7:$I$23,2,FALSE),"")</f>
        <v>-</v>
      </c>
      <c r="D24" s="269"/>
      <c r="E24" s="270"/>
      <c r="F24" s="217"/>
      <c r="G24" s="220"/>
      <c r="H24" s="220"/>
      <c r="I24" s="220"/>
      <c r="J24" s="221"/>
      <c r="K24" s="219"/>
      <c r="L24" s="271">
        <f>IF(E24&lt;&gt;"",VLOOKUP(E24,'Travel Rates'!$A$12:$B$17,2,FALSE),0)</f>
        <v>0</v>
      </c>
      <c r="M24" s="272">
        <f t="shared" si="2"/>
        <v>170</v>
      </c>
      <c r="N24" s="274">
        <f t="shared" si="2"/>
        <v>180</v>
      </c>
      <c r="O24" s="273">
        <f>$O$15</f>
        <v>66</v>
      </c>
      <c r="P24" s="660">
        <f>((G24*H24)*L24)</f>
        <v>0</v>
      </c>
      <c r="Q24" s="660">
        <f>((G24*I24)*J24)*M24</f>
        <v>0</v>
      </c>
      <c r="R24" s="661">
        <f>(K24*G24)*'Travel Rates'!$B$7</f>
        <v>0</v>
      </c>
      <c r="S24" s="661">
        <f>(G24*H24)*(I24-1)*N24</f>
        <v>0</v>
      </c>
      <c r="T24" s="662">
        <f>((G24*H24)*I24)*O24</f>
        <v>0</v>
      </c>
      <c r="U24" s="662">
        <f>SUM(P24:T24)</f>
        <v>0</v>
      </c>
      <c r="V24" s="179"/>
      <c r="W24" s="146" t="str">
        <f t="shared" ref="W24:W98" si="3">IFERROR(LEFT($A24,FIND(".",$A24)),"")</f>
        <v>1.</v>
      </c>
      <c r="X24" s="84"/>
      <c r="Y24" s="84"/>
      <c r="Z24" s="84"/>
      <c r="AA24" s="84"/>
      <c r="AB24" s="84"/>
      <c r="AC24" s="84"/>
      <c r="AD24" s="84"/>
      <c r="AE24" s="62"/>
      <c r="AF24" s="84"/>
      <c r="AG24" s="84"/>
      <c r="AH24" s="84"/>
      <c r="AI24" s="84"/>
      <c r="AJ24" s="84"/>
      <c r="AK24" s="84"/>
      <c r="AL24" s="84"/>
      <c r="AM24" s="84"/>
      <c r="AN24" s="84"/>
      <c r="AO24" s="84"/>
      <c r="AP24" s="84"/>
      <c r="AQ24" s="84"/>
      <c r="AR24" s="84"/>
      <c r="AS24" s="84"/>
    </row>
    <row r="25" spans="1:45" s="104" customFormat="1" ht="12" customHeight="1">
      <c r="A25" s="683">
        <v>1.3</v>
      </c>
      <c r="B25" s="268" t="s">
        <v>79</v>
      </c>
      <c r="C25" s="268" t="str">
        <f>IF(B25&lt;&gt;"",VLOOKUP($B25,Rates!$H$7:$I$23,2,FALSE),"")</f>
        <v>-</v>
      </c>
      <c r="D25" s="675"/>
      <c r="E25" s="270"/>
      <c r="F25" s="217"/>
      <c r="G25" s="222"/>
      <c r="H25" s="222"/>
      <c r="I25" s="222"/>
      <c r="J25" s="223"/>
      <c r="K25" s="219"/>
      <c r="L25" s="271">
        <f>IF(E25&lt;&gt;"",VLOOKUP(E25,'Travel Rates'!$A$12:$B$17,2,FALSE),0)</f>
        <v>0</v>
      </c>
      <c r="M25" s="272">
        <f t="shared" si="2"/>
        <v>170</v>
      </c>
      <c r="N25" s="274">
        <f t="shared" si="2"/>
        <v>180</v>
      </c>
      <c r="O25" s="273">
        <f>$O$15</f>
        <v>66</v>
      </c>
      <c r="P25" s="660">
        <f>((G25*H25)*L25)</f>
        <v>0</v>
      </c>
      <c r="Q25" s="660">
        <f>((G25*I25)*J25)*M25</f>
        <v>0</v>
      </c>
      <c r="R25" s="661">
        <f>(K25*G25)*'Travel Rates'!$B$7</f>
        <v>0</v>
      </c>
      <c r="S25" s="661">
        <f>(G25*H25)*(I25-1)*N25</f>
        <v>0</v>
      </c>
      <c r="T25" s="662">
        <f>((G25*H25)*I25)*O25</f>
        <v>0</v>
      </c>
      <c r="U25" s="662">
        <f>SUM(P25:T25)</f>
        <v>0</v>
      </c>
      <c r="V25" s="179"/>
      <c r="W25" s="146" t="str">
        <f t="shared" si="3"/>
        <v>1.</v>
      </c>
      <c r="X25" s="84"/>
      <c r="Y25" s="84"/>
      <c r="Z25" s="84"/>
      <c r="AA25" s="84"/>
      <c r="AB25" s="84"/>
      <c r="AC25" s="84"/>
      <c r="AD25" s="84"/>
      <c r="AE25" s="62"/>
      <c r="AF25" s="84"/>
      <c r="AG25" s="84"/>
      <c r="AH25" s="84"/>
      <c r="AI25" s="84"/>
      <c r="AJ25" s="84"/>
      <c r="AK25" s="84"/>
      <c r="AL25" s="84"/>
      <c r="AM25" s="84"/>
      <c r="AN25" s="84"/>
      <c r="AO25" s="84"/>
      <c r="AP25" s="84"/>
      <c r="AQ25" s="84"/>
      <c r="AR25" s="84"/>
      <c r="AS25" s="84"/>
    </row>
    <row r="26" spans="1:45" s="104" customFormat="1" ht="12" customHeight="1">
      <c r="A26" s="683">
        <v>1.4</v>
      </c>
      <c r="B26" s="268" t="s">
        <v>79</v>
      </c>
      <c r="C26" s="268" t="str">
        <f>IF(B26&lt;&gt;"",VLOOKUP($B26,Rates!$H$7:$I$23,2,FALSE),"")</f>
        <v>-</v>
      </c>
      <c r="D26" s="269"/>
      <c r="E26" s="270"/>
      <c r="F26" s="217"/>
      <c r="G26" s="222"/>
      <c r="H26" s="222"/>
      <c r="I26" s="222"/>
      <c r="J26" s="223"/>
      <c r="K26" s="219"/>
      <c r="L26" s="271">
        <f>IF(E26&lt;&gt;"",VLOOKUP(E26,'Travel Rates'!$A$12:$B$17,2,FALSE),0)</f>
        <v>0</v>
      </c>
      <c r="M26" s="272">
        <f t="shared" si="2"/>
        <v>170</v>
      </c>
      <c r="N26" s="274">
        <f t="shared" si="2"/>
        <v>180</v>
      </c>
      <c r="O26" s="273">
        <f>$O$15</f>
        <v>66</v>
      </c>
      <c r="P26" s="660">
        <f>((G26*H26)*L26)</f>
        <v>0</v>
      </c>
      <c r="Q26" s="660">
        <f>((G26*I26)*J26)*M26</f>
        <v>0</v>
      </c>
      <c r="R26" s="661">
        <f>(K26*G26)*'Travel Rates'!$B$7</f>
        <v>0</v>
      </c>
      <c r="S26" s="661">
        <f>(G26*H26)*(I26-1)*N26</f>
        <v>0</v>
      </c>
      <c r="T26" s="662">
        <f>((G26*H26)*I26)*O26</f>
        <v>0</v>
      </c>
      <c r="U26" s="662">
        <f>SUM(P26:T26)</f>
        <v>0</v>
      </c>
      <c r="V26" s="179"/>
      <c r="W26" s="146" t="str">
        <f t="shared" si="3"/>
        <v>1.</v>
      </c>
      <c r="X26" s="84"/>
      <c r="Y26" s="84"/>
      <c r="Z26" s="84"/>
      <c r="AA26" s="84"/>
      <c r="AB26" s="84"/>
      <c r="AC26" s="84"/>
      <c r="AD26" s="84"/>
      <c r="AE26" s="62"/>
      <c r="AF26" s="84"/>
      <c r="AG26" s="84"/>
      <c r="AH26" s="84"/>
      <c r="AI26" s="84"/>
      <c r="AJ26" s="84"/>
      <c r="AK26" s="84"/>
      <c r="AL26" s="84"/>
      <c r="AM26" s="84"/>
      <c r="AN26" s="84"/>
      <c r="AO26" s="84"/>
      <c r="AP26" s="84"/>
      <c r="AQ26" s="84"/>
      <c r="AR26" s="84"/>
      <c r="AS26" s="84"/>
    </row>
    <row r="27" spans="1:45" s="104" customFormat="1" ht="12" customHeight="1">
      <c r="A27" s="683">
        <v>1.5</v>
      </c>
      <c r="B27" s="268" t="s">
        <v>79</v>
      </c>
      <c r="C27" s="268" t="str">
        <f>IF(B27&lt;&gt;"",VLOOKUP($B27,Rates!$H$7:$I$23,2,FALSE),"")</f>
        <v>-</v>
      </c>
      <c r="D27" s="275"/>
      <c r="E27" s="276"/>
      <c r="F27" s="224"/>
      <c r="G27" s="225"/>
      <c r="H27" s="225"/>
      <c r="I27" s="225"/>
      <c r="J27" s="226"/>
      <c r="K27" s="227"/>
      <c r="L27" s="271">
        <f>IF(E27&lt;&gt;"",VLOOKUP(E27,'Travel Rates'!$A$12:$B$17,2,FALSE),0)</f>
        <v>0</v>
      </c>
      <c r="M27" s="272">
        <f t="shared" si="2"/>
        <v>170</v>
      </c>
      <c r="N27" s="274">
        <f t="shared" si="2"/>
        <v>180</v>
      </c>
      <c r="O27" s="273">
        <f>$O$15</f>
        <v>66</v>
      </c>
      <c r="P27" s="660">
        <f>((G27*H27)*L27)</f>
        <v>0</v>
      </c>
      <c r="Q27" s="660">
        <f>((G27*I27)*J27)*M27</f>
        <v>0</v>
      </c>
      <c r="R27" s="661">
        <f>(K27*G27)*'Travel Rates'!$B$7</f>
        <v>0</v>
      </c>
      <c r="S27" s="661">
        <f>(G27*H27)*(I27-1)*N27</f>
        <v>0</v>
      </c>
      <c r="T27" s="662">
        <f>((G27*H27)*I27)*O27</f>
        <v>0</v>
      </c>
      <c r="U27" s="662">
        <f>SUM(P27:T27)</f>
        <v>0</v>
      </c>
      <c r="V27" s="179"/>
      <c r="W27" s="146" t="str">
        <f t="shared" si="3"/>
        <v>1.</v>
      </c>
      <c r="X27" s="84"/>
      <c r="Y27" s="84"/>
      <c r="Z27" s="84"/>
      <c r="AA27" s="84"/>
      <c r="AB27" s="84"/>
      <c r="AC27" s="84"/>
      <c r="AD27" s="84"/>
      <c r="AE27" s="62"/>
      <c r="AF27" s="84"/>
      <c r="AG27" s="84"/>
      <c r="AH27" s="84"/>
      <c r="AI27" s="84"/>
      <c r="AJ27" s="84"/>
      <c r="AK27" s="84"/>
      <c r="AL27" s="84"/>
      <c r="AM27" s="84"/>
      <c r="AN27" s="84"/>
      <c r="AO27" s="84"/>
      <c r="AP27" s="84"/>
      <c r="AQ27" s="84"/>
      <c r="AR27" s="84"/>
      <c r="AS27" s="84"/>
    </row>
    <row r="28" spans="1:45" s="104" customFormat="1" ht="12" customHeight="1">
      <c r="A28" s="344" t="s">
        <v>1</v>
      </c>
      <c r="B28" s="278"/>
      <c r="C28" s="277"/>
      <c r="D28" s="279" t="str">
        <f>"Subtask No. "&amp;A22</f>
        <v>Subtask No. 1</v>
      </c>
      <c r="E28" s="280"/>
      <c r="F28" s="228"/>
      <c r="G28" s="229">
        <f>SUM(G23:G27)</f>
        <v>1</v>
      </c>
      <c r="H28" s="229">
        <f>SUM(H23:H27)</f>
        <v>1</v>
      </c>
      <c r="I28" s="229">
        <f>SUM(I23:I27)</f>
        <v>3</v>
      </c>
      <c r="J28" s="230">
        <f>SUM(J23:J27)</f>
        <v>1</v>
      </c>
      <c r="K28" s="231">
        <f>SUM(K23:K27)</f>
        <v>0</v>
      </c>
      <c r="L28" s="281" t="s">
        <v>0</v>
      </c>
      <c r="M28" s="282" t="s">
        <v>0</v>
      </c>
      <c r="N28" s="282" t="s">
        <v>0</v>
      </c>
      <c r="O28" s="283" t="s">
        <v>0</v>
      </c>
      <c r="P28" s="663">
        <f t="shared" ref="P28:U28" si="4">SUM(P23:P27)</f>
        <v>650</v>
      </c>
      <c r="Q28" s="663">
        <f t="shared" si="4"/>
        <v>510</v>
      </c>
      <c r="R28" s="663">
        <f t="shared" si="4"/>
        <v>0</v>
      </c>
      <c r="S28" s="663">
        <f t="shared" si="4"/>
        <v>360</v>
      </c>
      <c r="T28" s="664">
        <f t="shared" si="4"/>
        <v>198</v>
      </c>
      <c r="U28" s="664">
        <f t="shared" si="4"/>
        <v>1718</v>
      </c>
      <c r="V28" s="179"/>
      <c r="W28" s="146" t="str">
        <f t="shared" si="3"/>
        <v/>
      </c>
      <c r="X28" s="84"/>
      <c r="Y28" s="84"/>
      <c r="Z28" s="84"/>
      <c r="AA28" s="84"/>
      <c r="AB28" s="84"/>
      <c r="AC28" s="84"/>
      <c r="AD28" s="84"/>
      <c r="AE28" s="62"/>
      <c r="AF28" s="84"/>
      <c r="AG28" s="84"/>
      <c r="AH28" s="84"/>
      <c r="AI28" s="84"/>
      <c r="AJ28" s="84"/>
      <c r="AK28" s="84"/>
      <c r="AL28" s="84"/>
      <c r="AM28" s="84"/>
      <c r="AN28" s="84"/>
      <c r="AO28" s="84"/>
      <c r="AP28" s="84"/>
      <c r="AQ28" s="84"/>
      <c r="AR28" s="84"/>
      <c r="AS28" s="84"/>
    </row>
    <row r="29" spans="1:45" s="104" customFormat="1" ht="12" customHeight="1" thickBot="1">
      <c r="A29" s="345"/>
      <c r="B29" s="284"/>
      <c r="C29" s="284"/>
      <c r="D29" s="285"/>
      <c r="E29" s="284"/>
      <c r="F29" s="232"/>
      <c r="G29" s="233"/>
      <c r="H29" s="233"/>
      <c r="I29" s="233"/>
      <c r="J29" s="233"/>
      <c r="K29" s="234"/>
      <c r="L29" s="286"/>
      <c r="M29" s="286"/>
      <c r="N29" s="286"/>
      <c r="O29" s="286"/>
      <c r="P29" s="286"/>
      <c r="Q29" s="286"/>
      <c r="R29" s="286"/>
      <c r="S29" s="286"/>
      <c r="T29" s="286"/>
      <c r="U29" s="286"/>
      <c r="V29" s="179"/>
      <c r="W29" s="146" t="str">
        <f t="shared" si="3"/>
        <v/>
      </c>
      <c r="X29" s="84"/>
      <c r="Y29" s="84"/>
      <c r="Z29" s="84"/>
      <c r="AA29" s="84"/>
      <c r="AB29" s="84"/>
      <c r="AC29" s="84"/>
      <c r="AD29" s="84"/>
      <c r="AE29" s="62"/>
      <c r="AF29" s="84"/>
      <c r="AG29" s="84"/>
      <c r="AH29" s="84"/>
      <c r="AI29" s="84"/>
      <c r="AJ29" s="84"/>
      <c r="AK29" s="84"/>
      <c r="AL29" s="84"/>
      <c r="AM29" s="84"/>
      <c r="AN29" s="84"/>
      <c r="AO29" s="84"/>
      <c r="AP29" s="84"/>
      <c r="AQ29" s="84"/>
      <c r="AR29" s="84"/>
      <c r="AS29" s="84"/>
    </row>
    <row r="30" spans="1:45" s="62" customFormat="1" ht="15" thickTop="1" thickBot="1">
      <c r="A30" s="346">
        <v>2</v>
      </c>
      <c r="B30" s="287" t="str">
        <f>VLOOKUP(D36,'Task Order Setup'!$A$6:$C$23,3,FALSE)</f>
        <v>Monitoring Services</v>
      </c>
      <c r="C30" s="288"/>
      <c r="D30" s="289"/>
      <c r="E30" s="290"/>
      <c r="F30" s="57"/>
      <c r="G30" s="57"/>
      <c r="H30" s="57"/>
      <c r="I30" s="57"/>
      <c r="J30" s="57"/>
      <c r="K30" s="57"/>
      <c r="L30" s="290"/>
      <c r="M30" s="290"/>
      <c r="N30" s="290"/>
      <c r="O30" s="290"/>
      <c r="P30" s="290"/>
      <c r="Q30" s="291"/>
      <c r="R30" s="292"/>
      <c r="S30" s="292"/>
      <c r="T30" s="292"/>
      <c r="U30" s="292"/>
      <c r="V30" s="179"/>
      <c r="W30" s="146" t="str">
        <f t="shared" si="3"/>
        <v/>
      </c>
      <c r="X30" s="84"/>
      <c r="Y30" s="84"/>
      <c r="Z30" s="84"/>
      <c r="AA30" s="84"/>
      <c r="AB30" s="84"/>
      <c r="AC30" s="84"/>
      <c r="AD30" s="84"/>
      <c r="AF30" s="84"/>
      <c r="AG30" s="84"/>
      <c r="AH30" s="84"/>
      <c r="AI30" s="84"/>
      <c r="AJ30" s="84"/>
      <c r="AK30" s="84"/>
      <c r="AL30" s="84"/>
      <c r="AM30" s="84"/>
      <c r="AN30" s="84"/>
      <c r="AO30" s="84"/>
      <c r="AP30" s="84"/>
      <c r="AQ30" s="84"/>
      <c r="AR30" s="84"/>
      <c r="AS30" s="84"/>
    </row>
    <row r="31" spans="1:45" s="104" customFormat="1" ht="12" customHeight="1" thickTop="1">
      <c r="A31" s="683">
        <v>2.1</v>
      </c>
      <c r="B31" s="268" t="s">
        <v>81</v>
      </c>
      <c r="C31" s="268" t="str">
        <f>IF(B31&lt;&gt;"",VLOOKUP($B31,Rates!$H$7:$I$23,2,FALSE),"")</f>
        <v>Prime</v>
      </c>
      <c r="D31" s="293" t="s">
        <v>264</v>
      </c>
      <c r="E31" s="270" t="s">
        <v>94</v>
      </c>
      <c r="F31" s="677" t="s">
        <v>265</v>
      </c>
      <c r="G31" s="237">
        <v>1</v>
      </c>
      <c r="H31" s="237">
        <v>1</v>
      </c>
      <c r="I31" s="237">
        <v>4</v>
      </c>
      <c r="J31" s="238">
        <v>1</v>
      </c>
      <c r="K31" s="239">
        <v>0</v>
      </c>
      <c r="L31" s="271">
        <f>IF(E31&lt;&gt;"",VLOOKUP(E31,'Travel Rates'!$A$12:$B$17,2,FALSE),0)</f>
        <v>650</v>
      </c>
      <c r="M31" s="272">
        <f t="shared" ref="M31:N35" si="5">M$15</f>
        <v>170</v>
      </c>
      <c r="N31" s="272">
        <f t="shared" si="5"/>
        <v>180</v>
      </c>
      <c r="O31" s="273">
        <f>$O$15</f>
        <v>66</v>
      </c>
      <c r="P31" s="660">
        <f>((G31*H31)*L31)</f>
        <v>650</v>
      </c>
      <c r="Q31" s="660">
        <f>((G31*I31)*J31)*M31</f>
        <v>680</v>
      </c>
      <c r="R31" s="661">
        <f>(K31*G31)*'Travel Rates'!$B$7</f>
        <v>0</v>
      </c>
      <c r="S31" s="661">
        <f>(G31*H31)*(I31-1)*N31</f>
        <v>540</v>
      </c>
      <c r="T31" s="662">
        <f>((G31*H31)*I31)*O31</f>
        <v>264</v>
      </c>
      <c r="U31" s="662">
        <f>SUM(P31:T31)</f>
        <v>2134</v>
      </c>
      <c r="V31" s="179"/>
      <c r="W31" s="146" t="str">
        <f t="shared" si="3"/>
        <v>2.</v>
      </c>
      <c r="X31" s="84"/>
      <c r="Y31" s="84"/>
      <c r="Z31" s="84"/>
      <c r="AA31" s="84"/>
      <c r="AB31" s="84"/>
      <c r="AC31" s="84"/>
      <c r="AD31" s="84"/>
      <c r="AE31" s="62"/>
      <c r="AF31" s="84"/>
      <c r="AG31" s="84"/>
      <c r="AH31" s="84"/>
      <c r="AI31" s="84"/>
      <c r="AJ31" s="84"/>
      <c r="AK31" s="84"/>
      <c r="AL31" s="84"/>
      <c r="AM31" s="84"/>
      <c r="AN31" s="84"/>
      <c r="AO31" s="84"/>
      <c r="AP31" s="84"/>
      <c r="AQ31" s="84"/>
      <c r="AR31" s="84"/>
      <c r="AS31" s="84"/>
    </row>
    <row r="32" spans="1:45" s="104" customFormat="1" ht="12" customHeight="1">
      <c r="A32" s="683">
        <v>2.2000000000000002</v>
      </c>
      <c r="B32" s="268" t="s">
        <v>79</v>
      </c>
      <c r="C32" s="268" t="str">
        <f>IF(B32&lt;&gt;"",VLOOKUP($B32,Rates!$H$7:$I$23,2,FALSE),"")</f>
        <v>-</v>
      </c>
      <c r="D32" s="293"/>
      <c r="E32" s="270"/>
      <c r="F32" s="236"/>
      <c r="G32" s="222"/>
      <c r="H32" s="222"/>
      <c r="I32" s="222"/>
      <c r="J32" s="223"/>
      <c r="K32" s="239"/>
      <c r="L32" s="271">
        <f>IF(E32&lt;&gt;"",VLOOKUP(E32,'Travel Rates'!$A$12:$B$17,2,FALSE),0)</f>
        <v>0</v>
      </c>
      <c r="M32" s="272">
        <f t="shared" si="5"/>
        <v>170</v>
      </c>
      <c r="N32" s="274">
        <f t="shared" si="5"/>
        <v>180</v>
      </c>
      <c r="O32" s="273">
        <f>$O$15</f>
        <v>66</v>
      </c>
      <c r="P32" s="660">
        <f>((G32*H32)*L32)</f>
        <v>0</v>
      </c>
      <c r="Q32" s="660">
        <f>((G32*I32)*J32)*M32</f>
        <v>0</v>
      </c>
      <c r="R32" s="661">
        <f>(K32*G32)*'Travel Rates'!$B$7</f>
        <v>0</v>
      </c>
      <c r="S32" s="661">
        <f>(G32*H32)*(I32-1)*N32</f>
        <v>0</v>
      </c>
      <c r="T32" s="662">
        <f>((G32*H32)*I32)*O32</f>
        <v>0</v>
      </c>
      <c r="U32" s="662">
        <f>SUM(P32:T32)</f>
        <v>0</v>
      </c>
      <c r="V32" s="179"/>
      <c r="W32" s="146" t="str">
        <f t="shared" si="3"/>
        <v>2.</v>
      </c>
      <c r="X32" s="84"/>
      <c r="Y32" s="84"/>
      <c r="Z32" s="84"/>
      <c r="AA32" s="84"/>
      <c r="AB32" s="84"/>
      <c r="AC32" s="84"/>
      <c r="AD32" s="84"/>
      <c r="AE32" s="62"/>
      <c r="AF32" s="84"/>
      <c r="AG32" s="84"/>
      <c r="AH32" s="84"/>
      <c r="AI32" s="84"/>
      <c r="AJ32" s="84"/>
      <c r="AK32" s="84"/>
      <c r="AL32" s="84"/>
      <c r="AM32" s="84"/>
      <c r="AN32" s="84"/>
      <c r="AO32" s="84"/>
      <c r="AP32" s="84"/>
      <c r="AQ32" s="84"/>
      <c r="AR32" s="84"/>
      <c r="AS32" s="84"/>
    </row>
    <row r="33" spans="1:45" s="104" customFormat="1" ht="12" customHeight="1">
      <c r="A33" s="683">
        <v>2.2999999999999998</v>
      </c>
      <c r="B33" s="268" t="s">
        <v>79</v>
      </c>
      <c r="C33" s="268" t="str">
        <f>IF(B33&lt;&gt;"",VLOOKUP($B33,Rates!$H$7:$I$23,2,FALSE),"")</f>
        <v>-</v>
      </c>
      <c r="D33" s="293"/>
      <c r="E33" s="294"/>
      <c r="F33" s="236"/>
      <c r="G33" s="222"/>
      <c r="H33" s="222"/>
      <c r="I33" s="222"/>
      <c r="J33" s="223"/>
      <c r="K33" s="239"/>
      <c r="L33" s="271">
        <f>IF(E33&lt;&gt;"",VLOOKUP(E33,'Travel Rates'!$A$12:$B$17,2,FALSE),0)</f>
        <v>0</v>
      </c>
      <c r="M33" s="272">
        <f t="shared" si="5"/>
        <v>170</v>
      </c>
      <c r="N33" s="274">
        <f t="shared" si="5"/>
        <v>180</v>
      </c>
      <c r="O33" s="273">
        <f>$O$15</f>
        <v>66</v>
      </c>
      <c r="P33" s="660">
        <f>((G33*H33)*L33)</f>
        <v>0</v>
      </c>
      <c r="Q33" s="660">
        <f>((G33*I33)*J33)*M33</f>
        <v>0</v>
      </c>
      <c r="R33" s="661">
        <f>(K33*G33)*'Travel Rates'!$B$7</f>
        <v>0</v>
      </c>
      <c r="S33" s="661">
        <f>(G33*H33)*(I33-1)*N33</f>
        <v>0</v>
      </c>
      <c r="T33" s="662">
        <f>((G33*H33)*I33)*O33</f>
        <v>0</v>
      </c>
      <c r="U33" s="662">
        <f>SUM(P33:T33)</f>
        <v>0</v>
      </c>
      <c r="V33" s="179"/>
      <c r="W33" s="146" t="str">
        <f t="shared" si="3"/>
        <v>2.</v>
      </c>
      <c r="X33" s="84"/>
      <c r="Y33" s="84"/>
      <c r="Z33" s="84"/>
      <c r="AA33" s="84"/>
      <c r="AB33" s="84"/>
      <c r="AC33" s="84"/>
      <c r="AD33" s="84"/>
      <c r="AE33" s="62"/>
      <c r="AF33" s="84"/>
      <c r="AG33" s="84"/>
      <c r="AH33" s="84"/>
      <c r="AI33" s="84"/>
      <c r="AJ33" s="84"/>
      <c r="AK33" s="84"/>
      <c r="AL33" s="84"/>
      <c r="AM33" s="84"/>
      <c r="AN33" s="84"/>
      <c r="AO33" s="84"/>
      <c r="AP33" s="84"/>
      <c r="AQ33" s="84"/>
      <c r="AR33" s="84"/>
      <c r="AS33" s="84"/>
    </row>
    <row r="34" spans="1:45" s="104" customFormat="1" ht="12" customHeight="1">
      <c r="A34" s="683">
        <v>2.4</v>
      </c>
      <c r="B34" s="268" t="s">
        <v>79</v>
      </c>
      <c r="C34" s="268" t="str">
        <f>IF(B34&lt;&gt;"",VLOOKUP($B34,Rates!$H$7:$I$23,2,FALSE),"")</f>
        <v>-</v>
      </c>
      <c r="D34" s="293"/>
      <c r="E34" s="294"/>
      <c r="F34" s="236"/>
      <c r="G34" s="222"/>
      <c r="H34" s="222"/>
      <c r="I34" s="222"/>
      <c r="J34" s="223"/>
      <c r="K34" s="239"/>
      <c r="L34" s="271">
        <f>IF(E34&lt;&gt;"",VLOOKUP(E34,'Travel Rates'!$A$12:$B$17,2,FALSE),0)</f>
        <v>0</v>
      </c>
      <c r="M34" s="272">
        <f t="shared" si="5"/>
        <v>170</v>
      </c>
      <c r="N34" s="274">
        <f t="shared" si="5"/>
        <v>180</v>
      </c>
      <c r="O34" s="273">
        <f>$O$15</f>
        <v>66</v>
      </c>
      <c r="P34" s="660">
        <f>((G34*H34)*L34)</f>
        <v>0</v>
      </c>
      <c r="Q34" s="660">
        <f>((G34*I34)*J34)*M34</f>
        <v>0</v>
      </c>
      <c r="R34" s="661">
        <f>(K34*G34)*'Travel Rates'!$B$7</f>
        <v>0</v>
      </c>
      <c r="S34" s="661">
        <f>(G34*H34)*(I34-1)*N34</f>
        <v>0</v>
      </c>
      <c r="T34" s="662">
        <f>((G34*H34)*I34)*O34</f>
        <v>0</v>
      </c>
      <c r="U34" s="662">
        <f>SUM(P34:T34)</f>
        <v>0</v>
      </c>
      <c r="V34" s="179"/>
      <c r="W34" s="146" t="str">
        <f t="shared" si="3"/>
        <v>2.</v>
      </c>
      <c r="X34" s="84"/>
      <c r="Y34" s="84"/>
      <c r="Z34" s="84"/>
      <c r="AA34" s="84"/>
      <c r="AB34" s="84"/>
      <c r="AC34" s="84"/>
      <c r="AD34" s="84"/>
      <c r="AE34" s="62"/>
      <c r="AF34" s="84"/>
      <c r="AG34" s="84"/>
      <c r="AH34" s="84"/>
      <c r="AI34" s="84"/>
      <c r="AJ34" s="84"/>
      <c r="AK34" s="84"/>
      <c r="AL34" s="84"/>
      <c r="AM34" s="84"/>
      <c r="AN34" s="84"/>
      <c r="AO34" s="84"/>
      <c r="AP34" s="84"/>
      <c r="AQ34" s="84"/>
      <c r="AR34" s="84"/>
      <c r="AS34" s="84"/>
    </row>
    <row r="35" spans="1:45" s="104" customFormat="1" ht="12" customHeight="1">
      <c r="A35" s="683">
        <v>2.5</v>
      </c>
      <c r="B35" s="268" t="s">
        <v>79</v>
      </c>
      <c r="C35" s="268" t="str">
        <f>IF(B35&lt;&gt;"",VLOOKUP($B35,Rates!$H$7:$I$23,2,FALSE),"")</f>
        <v>-</v>
      </c>
      <c r="D35" s="295"/>
      <c r="E35" s="276"/>
      <c r="F35" s="224" t="s">
        <v>0</v>
      </c>
      <c r="G35" s="225"/>
      <c r="H35" s="225"/>
      <c r="I35" s="225"/>
      <c r="J35" s="226"/>
      <c r="K35" s="227"/>
      <c r="L35" s="271">
        <f>IF(E35&lt;&gt;"",VLOOKUP(E35,'Travel Rates'!$A$12:$B$17,2,FALSE),0)</f>
        <v>0</v>
      </c>
      <c r="M35" s="296">
        <f t="shared" si="5"/>
        <v>170</v>
      </c>
      <c r="N35" s="297">
        <f t="shared" si="5"/>
        <v>180</v>
      </c>
      <c r="O35" s="273">
        <f>$O$15</f>
        <v>66</v>
      </c>
      <c r="P35" s="660">
        <f>((G35*H35)*L35)</f>
        <v>0</v>
      </c>
      <c r="Q35" s="660">
        <f>((G35*I35)*J35)*M35</f>
        <v>0</v>
      </c>
      <c r="R35" s="661">
        <f>(K35*G35)*'Travel Rates'!$B$7</f>
        <v>0</v>
      </c>
      <c r="S35" s="661">
        <f>(G35*H35)*(I35-1)*N35</f>
        <v>0</v>
      </c>
      <c r="T35" s="662">
        <f>((G35*H35)*I35)*O35</f>
        <v>0</v>
      </c>
      <c r="U35" s="662">
        <f>SUM(P35:T35)</f>
        <v>0</v>
      </c>
      <c r="V35" s="179"/>
      <c r="W35" s="146" t="str">
        <f t="shared" si="3"/>
        <v>2.</v>
      </c>
      <c r="X35" s="84"/>
      <c r="Y35" s="84"/>
      <c r="Z35" s="84"/>
      <c r="AA35" s="84"/>
      <c r="AB35" s="84"/>
      <c r="AC35" s="84"/>
      <c r="AD35" s="84"/>
      <c r="AE35" s="62"/>
      <c r="AF35" s="84"/>
      <c r="AG35" s="84"/>
      <c r="AH35" s="84"/>
      <c r="AI35" s="84"/>
      <c r="AJ35" s="84"/>
      <c r="AK35" s="84"/>
      <c r="AL35" s="84"/>
      <c r="AM35" s="84"/>
      <c r="AN35" s="84"/>
      <c r="AO35" s="84"/>
      <c r="AP35" s="84"/>
      <c r="AQ35" s="84"/>
      <c r="AR35" s="84"/>
      <c r="AS35" s="84"/>
    </row>
    <row r="36" spans="1:45" s="104" customFormat="1" ht="12" customHeight="1">
      <c r="A36" s="344" t="str">
        <f>$A$28</f>
        <v>Total</v>
      </c>
      <c r="B36" s="278"/>
      <c r="C36" s="277"/>
      <c r="D36" s="279" t="str">
        <f>"Subtask No. "&amp;A30</f>
        <v>Subtask No. 2</v>
      </c>
      <c r="E36" s="280"/>
      <c r="F36" s="228"/>
      <c r="G36" s="229">
        <f>SUM(G31:G35)</f>
        <v>1</v>
      </c>
      <c r="H36" s="229">
        <f>SUM(H31:H35)</f>
        <v>1</v>
      </c>
      <c r="I36" s="229">
        <f>SUM(I31:I35)</f>
        <v>4</v>
      </c>
      <c r="J36" s="230">
        <f>SUM(J31:J35)</f>
        <v>1</v>
      </c>
      <c r="K36" s="231">
        <f>SUM(K31:K35)</f>
        <v>0</v>
      </c>
      <c r="L36" s="281" t="s">
        <v>0</v>
      </c>
      <c r="M36" s="282" t="s">
        <v>0</v>
      </c>
      <c r="N36" s="282" t="s">
        <v>0</v>
      </c>
      <c r="O36" s="283" t="s">
        <v>0</v>
      </c>
      <c r="P36" s="663">
        <f t="shared" ref="P36:U36" si="6">SUM(P31:P35)</f>
        <v>650</v>
      </c>
      <c r="Q36" s="663">
        <f t="shared" si="6"/>
        <v>680</v>
      </c>
      <c r="R36" s="663">
        <f t="shared" si="6"/>
        <v>0</v>
      </c>
      <c r="S36" s="663">
        <f t="shared" si="6"/>
        <v>540</v>
      </c>
      <c r="T36" s="664">
        <f t="shared" si="6"/>
        <v>264</v>
      </c>
      <c r="U36" s="664">
        <f t="shared" si="6"/>
        <v>2134</v>
      </c>
      <c r="V36" s="179"/>
      <c r="W36" s="146" t="str">
        <f t="shared" si="3"/>
        <v/>
      </c>
      <c r="X36" s="84"/>
      <c r="Y36" s="84"/>
      <c r="Z36" s="84"/>
      <c r="AA36" s="84"/>
      <c r="AB36" s="84"/>
      <c r="AC36" s="84"/>
      <c r="AD36" s="84"/>
      <c r="AE36" s="62"/>
      <c r="AF36" s="84"/>
      <c r="AG36" s="84"/>
      <c r="AH36" s="84"/>
      <c r="AI36" s="84"/>
      <c r="AJ36" s="84"/>
      <c r="AK36" s="84"/>
      <c r="AL36" s="84"/>
      <c r="AM36" s="84"/>
      <c r="AN36" s="84"/>
      <c r="AO36" s="84"/>
      <c r="AP36" s="84"/>
      <c r="AQ36" s="84"/>
      <c r="AR36" s="84"/>
      <c r="AS36" s="84"/>
    </row>
    <row r="37" spans="1:45" s="104" customFormat="1" ht="12" customHeight="1" thickBot="1">
      <c r="A37" s="345"/>
      <c r="B37" s="284"/>
      <c r="C37" s="284"/>
      <c r="D37" s="285"/>
      <c r="E37" s="284"/>
      <c r="F37" s="232"/>
      <c r="G37" s="233"/>
      <c r="H37" s="233"/>
      <c r="I37" s="233"/>
      <c r="J37" s="233"/>
      <c r="K37" s="234"/>
      <c r="L37" s="286"/>
      <c r="M37" s="286"/>
      <c r="N37" s="286"/>
      <c r="O37" s="286"/>
      <c r="P37" s="286"/>
      <c r="Q37" s="286"/>
      <c r="R37" s="286"/>
      <c r="S37" s="286"/>
      <c r="T37" s="286"/>
      <c r="U37" s="286"/>
      <c r="V37" s="179"/>
      <c r="W37" s="146" t="str">
        <f t="shared" si="3"/>
        <v/>
      </c>
      <c r="X37" s="84"/>
      <c r="Y37" s="84"/>
      <c r="Z37" s="84"/>
      <c r="AA37" s="84"/>
      <c r="AB37" s="84"/>
      <c r="AC37" s="84"/>
      <c r="AD37" s="84"/>
      <c r="AE37" s="62"/>
      <c r="AF37" s="84"/>
      <c r="AG37" s="84"/>
      <c r="AH37" s="84"/>
      <c r="AI37" s="84"/>
      <c r="AJ37" s="84"/>
      <c r="AK37" s="84"/>
      <c r="AL37" s="84"/>
      <c r="AM37" s="84"/>
      <c r="AN37" s="84"/>
      <c r="AO37" s="84"/>
      <c r="AP37" s="84"/>
      <c r="AQ37" s="84"/>
      <c r="AR37" s="84"/>
      <c r="AS37" s="84"/>
    </row>
    <row r="38" spans="1:45" s="62" customFormat="1" ht="15" thickTop="1" thickBot="1">
      <c r="A38" s="346">
        <v>3</v>
      </c>
      <c r="B38" s="287" t="str">
        <f>VLOOKUP(D44,'Task Order Setup'!$A$6:$C$23,3,FALSE)</f>
        <v>Project Management</v>
      </c>
      <c r="C38" s="288"/>
      <c r="D38" s="289"/>
      <c r="E38" s="290"/>
      <c r="F38" s="57"/>
      <c r="G38" s="57"/>
      <c r="H38" s="57"/>
      <c r="I38" s="57"/>
      <c r="J38" s="57"/>
      <c r="K38" s="57"/>
      <c r="L38" s="290"/>
      <c r="M38" s="290"/>
      <c r="N38" s="290"/>
      <c r="O38" s="290"/>
      <c r="P38" s="290"/>
      <c r="Q38" s="291"/>
      <c r="R38" s="292"/>
      <c r="S38" s="292"/>
      <c r="T38" s="292"/>
      <c r="U38" s="292"/>
      <c r="V38" s="179"/>
      <c r="W38" s="146" t="str">
        <f t="shared" si="3"/>
        <v/>
      </c>
      <c r="X38" s="84"/>
      <c r="Y38" s="84"/>
      <c r="Z38" s="84"/>
      <c r="AA38" s="84"/>
      <c r="AB38" s="84"/>
      <c r="AC38" s="84"/>
      <c r="AD38" s="84"/>
      <c r="AF38" s="84"/>
      <c r="AG38" s="84"/>
      <c r="AH38" s="84"/>
      <c r="AI38" s="84"/>
      <c r="AJ38" s="84"/>
      <c r="AK38" s="84"/>
      <c r="AL38" s="84"/>
      <c r="AM38" s="84"/>
      <c r="AN38" s="84"/>
      <c r="AO38" s="84"/>
      <c r="AP38" s="84"/>
      <c r="AQ38" s="84"/>
      <c r="AR38" s="84"/>
      <c r="AS38" s="84"/>
    </row>
    <row r="39" spans="1:45" s="104" customFormat="1" ht="12" customHeight="1" thickTop="1">
      <c r="A39" s="683">
        <v>3.1</v>
      </c>
      <c r="B39" s="268" t="s">
        <v>79</v>
      </c>
      <c r="C39" s="268" t="str">
        <f>IF(B39&lt;&gt;"",VLOOKUP($B39,Rates!$H$7:$I$23,2,FALSE),"")</f>
        <v>-</v>
      </c>
      <c r="D39" s="293"/>
      <c r="E39" s="270"/>
      <c r="F39" s="236"/>
      <c r="G39" s="237"/>
      <c r="H39" s="237"/>
      <c r="I39" s="237"/>
      <c r="J39" s="238"/>
      <c r="K39" s="239"/>
      <c r="L39" s="271">
        <f>IF(E39&lt;&gt;"",VLOOKUP(E39,'Travel Rates'!$A$12:$B$17,2,FALSE),0)</f>
        <v>0</v>
      </c>
      <c r="M39" s="272">
        <f t="shared" ref="M39:N43" si="7">M$15</f>
        <v>170</v>
      </c>
      <c r="N39" s="272">
        <f t="shared" si="7"/>
        <v>180</v>
      </c>
      <c r="O39" s="273">
        <f>$O$15</f>
        <v>66</v>
      </c>
      <c r="P39" s="660">
        <f>((G39*H39)*L39)</f>
        <v>0</v>
      </c>
      <c r="Q39" s="660">
        <f>((G39*I39)*J39)*M39</f>
        <v>0</v>
      </c>
      <c r="R39" s="661">
        <f>(K39*G39)*'Travel Rates'!$B$7</f>
        <v>0</v>
      </c>
      <c r="S39" s="661">
        <f>(G39*H39)*(I39-1)*N39</f>
        <v>0</v>
      </c>
      <c r="T39" s="662">
        <f>((G39*H39)*I39)*O39</f>
        <v>0</v>
      </c>
      <c r="U39" s="662">
        <f>SUM(P39:T39)</f>
        <v>0</v>
      </c>
      <c r="V39" s="179"/>
      <c r="W39" s="146" t="str">
        <f t="shared" si="3"/>
        <v>3.</v>
      </c>
      <c r="X39" s="84"/>
      <c r="Y39" s="84"/>
      <c r="Z39" s="84"/>
      <c r="AA39" s="84"/>
      <c r="AB39" s="84"/>
      <c r="AC39" s="84"/>
      <c r="AD39" s="84"/>
      <c r="AE39" s="62"/>
      <c r="AF39" s="84"/>
      <c r="AG39" s="84"/>
      <c r="AH39" s="84"/>
      <c r="AI39" s="84"/>
      <c r="AJ39" s="84"/>
      <c r="AK39" s="84"/>
      <c r="AL39" s="84"/>
      <c r="AM39" s="84"/>
      <c r="AN39" s="84"/>
      <c r="AO39" s="84"/>
      <c r="AP39" s="84"/>
      <c r="AQ39" s="84"/>
      <c r="AR39" s="84"/>
      <c r="AS39" s="84"/>
    </row>
    <row r="40" spans="1:45" s="104" customFormat="1" ht="12" customHeight="1">
      <c r="A40" s="683">
        <v>3.2</v>
      </c>
      <c r="B40" s="268" t="s">
        <v>79</v>
      </c>
      <c r="C40" s="268" t="str">
        <f>IF(B40&lt;&gt;"",VLOOKUP($B40,Rates!$H$7:$I$23,2,FALSE),"")</f>
        <v>-</v>
      </c>
      <c r="D40" s="293"/>
      <c r="E40" s="270"/>
      <c r="F40" s="236"/>
      <c r="G40" s="222"/>
      <c r="H40" s="222"/>
      <c r="I40" s="222"/>
      <c r="J40" s="223"/>
      <c r="K40" s="239"/>
      <c r="L40" s="271">
        <f>IF(E40&lt;&gt;"",VLOOKUP(E40,'Travel Rates'!$A$12:$B$17,2,FALSE),0)</f>
        <v>0</v>
      </c>
      <c r="M40" s="272">
        <f t="shared" si="7"/>
        <v>170</v>
      </c>
      <c r="N40" s="274">
        <f t="shared" si="7"/>
        <v>180</v>
      </c>
      <c r="O40" s="273">
        <f>$O$15</f>
        <v>66</v>
      </c>
      <c r="P40" s="660">
        <f>((G40*H40)*L40)</f>
        <v>0</v>
      </c>
      <c r="Q40" s="660">
        <f>((G40*I40)*J40)*M40</f>
        <v>0</v>
      </c>
      <c r="R40" s="661">
        <f>(K40*G40)*'Travel Rates'!$B$7</f>
        <v>0</v>
      </c>
      <c r="S40" s="661">
        <f>(G40*H40)*(I40-1)*N40</f>
        <v>0</v>
      </c>
      <c r="T40" s="662">
        <f>((G40*H40)*I40)*O40</f>
        <v>0</v>
      </c>
      <c r="U40" s="662">
        <f>SUM(P40:T40)</f>
        <v>0</v>
      </c>
      <c r="V40" s="179"/>
      <c r="W40" s="146" t="str">
        <f t="shared" si="3"/>
        <v>3.</v>
      </c>
      <c r="X40" s="84"/>
      <c r="Y40" s="84"/>
      <c r="Z40" s="84"/>
      <c r="AA40" s="84"/>
      <c r="AB40" s="84"/>
      <c r="AC40" s="84"/>
      <c r="AD40" s="84"/>
      <c r="AE40" s="62"/>
      <c r="AF40" s="84"/>
      <c r="AG40" s="84"/>
      <c r="AH40" s="84"/>
      <c r="AI40" s="84"/>
      <c r="AJ40" s="84"/>
      <c r="AK40" s="84"/>
      <c r="AL40" s="84"/>
      <c r="AM40" s="84"/>
      <c r="AN40" s="84"/>
      <c r="AO40" s="84"/>
      <c r="AP40" s="84"/>
      <c r="AQ40" s="84"/>
      <c r="AR40" s="84"/>
      <c r="AS40" s="84"/>
    </row>
    <row r="41" spans="1:45" s="104" customFormat="1" ht="12" customHeight="1">
      <c r="A41" s="683">
        <v>3.3</v>
      </c>
      <c r="B41" s="268" t="s">
        <v>79</v>
      </c>
      <c r="C41" s="268" t="str">
        <f>IF(B41&lt;&gt;"",VLOOKUP($B41,Rates!$H$7:$I$23,2,FALSE),"")</f>
        <v>-</v>
      </c>
      <c r="D41" s="293"/>
      <c r="E41" s="294"/>
      <c r="F41" s="236"/>
      <c r="G41" s="222"/>
      <c r="H41" s="222"/>
      <c r="I41" s="222"/>
      <c r="J41" s="223"/>
      <c r="K41" s="239"/>
      <c r="L41" s="271">
        <f>IF(E41&lt;&gt;"",VLOOKUP(E41,'Travel Rates'!$A$12:$B$17,2,FALSE),0)</f>
        <v>0</v>
      </c>
      <c r="M41" s="272">
        <f t="shared" si="7"/>
        <v>170</v>
      </c>
      <c r="N41" s="274">
        <f t="shared" si="7"/>
        <v>180</v>
      </c>
      <c r="O41" s="273">
        <f>$O$15</f>
        <v>66</v>
      </c>
      <c r="P41" s="660">
        <f>((G41*H41)*L41)</f>
        <v>0</v>
      </c>
      <c r="Q41" s="660">
        <f>((G41*I41)*J41)*M41</f>
        <v>0</v>
      </c>
      <c r="R41" s="661">
        <f>(K41*G41)*'Travel Rates'!$B$7</f>
        <v>0</v>
      </c>
      <c r="S41" s="661">
        <f>(G41*H41)*(I41-1)*N41</f>
        <v>0</v>
      </c>
      <c r="T41" s="662">
        <f>((G41*H41)*I41)*O41</f>
        <v>0</v>
      </c>
      <c r="U41" s="662">
        <f>SUM(P41:T41)</f>
        <v>0</v>
      </c>
      <c r="V41" s="179"/>
      <c r="W41" s="146" t="str">
        <f t="shared" si="3"/>
        <v>3.</v>
      </c>
      <c r="X41" s="84"/>
      <c r="Y41" s="84"/>
      <c r="Z41" s="84"/>
      <c r="AA41" s="84"/>
      <c r="AB41" s="84"/>
      <c r="AC41" s="84"/>
      <c r="AD41" s="84"/>
      <c r="AE41" s="62"/>
      <c r="AF41" s="84"/>
      <c r="AG41" s="84"/>
      <c r="AH41" s="84"/>
      <c r="AI41" s="84"/>
      <c r="AJ41" s="84"/>
      <c r="AK41" s="84"/>
      <c r="AL41" s="84"/>
      <c r="AM41" s="84"/>
      <c r="AN41" s="84"/>
      <c r="AO41" s="84"/>
      <c r="AP41" s="84"/>
      <c r="AQ41" s="84"/>
      <c r="AR41" s="84"/>
      <c r="AS41" s="84"/>
    </row>
    <row r="42" spans="1:45" s="104" customFormat="1" ht="12" customHeight="1">
      <c r="A42" s="683">
        <v>3.4</v>
      </c>
      <c r="B42" s="268" t="s">
        <v>79</v>
      </c>
      <c r="C42" s="268" t="str">
        <f>IF(B42&lt;&gt;"",VLOOKUP($B42,Rates!$H$7:$I$23,2,FALSE),"")</f>
        <v>-</v>
      </c>
      <c r="D42" s="293"/>
      <c r="E42" s="294"/>
      <c r="F42" s="236"/>
      <c r="G42" s="222"/>
      <c r="H42" s="222"/>
      <c r="I42" s="222"/>
      <c r="J42" s="223"/>
      <c r="K42" s="239"/>
      <c r="L42" s="271">
        <f>IF(E42&lt;&gt;"",VLOOKUP(E42,'Travel Rates'!$A$12:$B$17,2,FALSE),0)</f>
        <v>0</v>
      </c>
      <c r="M42" s="272">
        <f t="shared" si="7"/>
        <v>170</v>
      </c>
      <c r="N42" s="274">
        <f t="shared" si="7"/>
        <v>180</v>
      </c>
      <c r="O42" s="273">
        <f>$O$15</f>
        <v>66</v>
      </c>
      <c r="P42" s="660">
        <f>((G42*H42)*L42)</f>
        <v>0</v>
      </c>
      <c r="Q42" s="660">
        <f>((G42*I42)*J42)*M42</f>
        <v>0</v>
      </c>
      <c r="R42" s="661">
        <f>(K42*G42)*'Travel Rates'!$B$7</f>
        <v>0</v>
      </c>
      <c r="S42" s="661">
        <f>(G42*H42)*(I42-1)*N42</f>
        <v>0</v>
      </c>
      <c r="T42" s="662">
        <f>((G42*H42)*I42)*O42</f>
        <v>0</v>
      </c>
      <c r="U42" s="662">
        <f>SUM(P42:T42)</f>
        <v>0</v>
      </c>
      <c r="V42" s="179"/>
      <c r="W42" s="146" t="str">
        <f t="shared" si="3"/>
        <v>3.</v>
      </c>
      <c r="X42" s="84"/>
      <c r="Y42" s="84"/>
      <c r="Z42" s="84"/>
      <c r="AA42" s="84"/>
      <c r="AB42" s="84"/>
      <c r="AC42" s="84"/>
      <c r="AD42" s="84"/>
      <c r="AE42" s="62"/>
      <c r="AF42" s="84"/>
      <c r="AG42" s="84"/>
      <c r="AH42" s="84"/>
      <c r="AI42" s="84"/>
      <c r="AJ42" s="84"/>
      <c r="AK42" s="84"/>
      <c r="AL42" s="84"/>
      <c r="AM42" s="84"/>
      <c r="AN42" s="84"/>
      <c r="AO42" s="84"/>
      <c r="AP42" s="84"/>
      <c r="AQ42" s="84"/>
      <c r="AR42" s="84"/>
      <c r="AS42" s="84"/>
    </row>
    <row r="43" spans="1:45" s="104" customFormat="1" ht="12" customHeight="1">
      <c r="A43" s="683">
        <v>3.5</v>
      </c>
      <c r="B43" s="268" t="s">
        <v>79</v>
      </c>
      <c r="C43" s="268" t="str">
        <f>IF(B43&lt;&gt;"",VLOOKUP($B43,Rates!$H$7:$I$23,2,FALSE),"")</f>
        <v>-</v>
      </c>
      <c r="D43" s="295"/>
      <c r="E43" s="276"/>
      <c r="F43" s="224"/>
      <c r="G43" s="225"/>
      <c r="H43" s="225"/>
      <c r="I43" s="225"/>
      <c r="J43" s="226"/>
      <c r="K43" s="227"/>
      <c r="L43" s="271">
        <f>IF(E43&lt;&gt;"",VLOOKUP(E43,'Travel Rates'!$A$12:$B$17,2,FALSE),0)</f>
        <v>0</v>
      </c>
      <c r="M43" s="296">
        <f t="shared" si="7"/>
        <v>170</v>
      </c>
      <c r="N43" s="297">
        <f t="shared" si="7"/>
        <v>180</v>
      </c>
      <c r="O43" s="273">
        <f>$O$15</f>
        <v>66</v>
      </c>
      <c r="P43" s="660">
        <f>((G43*H43)*L43)</f>
        <v>0</v>
      </c>
      <c r="Q43" s="660">
        <f>((G43*I43)*J43)*M43</f>
        <v>0</v>
      </c>
      <c r="R43" s="661">
        <f>(K43*G43)*'Travel Rates'!$B$7</f>
        <v>0</v>
      </c>
      <c r="S43" s="661">
        <f>(G43*H43)*(I43-1)*N43</f>
        <v>0</v>
      </c>
      <c r="T43" s="662">
        <f>((G43*H43)*I43)*O43</f>
        <v>0</v>
      </c>
      <c r="U43" s="662">
        <f>SUM(P43:T43)</f>
        <v>0</v>
      </c>
      <c r="V43" s="179"/>
      <c r="W43" s="146" t="str">
        <f t="shared" si="3"/>
        <v>3.</v>
      </c>
      <c r="X43" s="84"/>
      <c r="Y43" s="84"/>
      <c r="Z43" s="84"/>
      <c r="AA43" s="84"/>
      <c r="AB43" s="84"/>
      <c r="AC43" s="84"/>
      <c r="AD43" s="84"/>
      <c r="AE43" s="62"/>
      <c r="AF43" s="84"/>
      <c r="AG43" s="84"/>
      <c r="AH43" s="84"/>
      <c r="AI43" s="84"/>
      <c r="AJ43" s="84"/>
      <c r="AK43" s="84"/>
      <c r="AL43" s="84"/>
      <c r="AM43" s="84"/>
      <c r="AN43" s="84"/>
      <c r="AO43" s="84"/>
      <c r="AP43" s="84"/>
      <c r="AQ43" s="84"/>
      <c r="AR43" s="84"/>
      <c r="AS43" s="84"/>
    </row>
    <row r="44" spans="1:45" s="104" customFormat="1" ht="12" customHeight="1">
      <c r="A44" s="344" t="str">
        <f>$A$28</f>
        <v>Total</v>
      </c>
      <c r="B44" s="278"/>
      <c r="C44" s="277"/>
      <c r="D44" s="279" t="str">
        <f>"Subtask No. "&amp;A38</f>
        <v>Subtask No. 3</v>
      </c>
      <c r="E44" s="280"/>
      <c r="F44" s="228"/>
      <c r="G44" s="229">
        <f>SUM(G39:G43)</f>
        <v>0</v>
      </c>
      <c r="H44" s="229">
        <f>SUM(H39:H43)</f>
        <v>0</v>
      </c>
      <c r="I44" s="229">
        <f>SUM(I39:I43)</f>
        <v>0</v>
      </c>
      <c r="J44" s="230">
        <f>SUM(J39:J43)</f>
        <v>0</v>
      </c>
      <c r="K44" s="231">
        <f>SUM(K39:K43)</f>
        <v>0</v>
      </c>
      <c r="L44" s="281" t="s">
        <v>0</v>
      </c>
      <c r="M44" s="282" t="s">
        <v>0</v>
      </c>
      <c r="N44" s="282" t="s">
        <v>0</v>
      </c>
      <c r="O44" s="283" t="s">
        <v>0</v>
      </c>
      <c r="P44" s="663">
        <f t="shared" ref="P44:U44" si="8">SUM(P39:P43)</f>
        <v>0</v>
      </c>
      <c r="Q44" s="663">
        <f t="shared" si="8"/>
        <v>0</v>
      </c>
      <c r="R44" s="663">
        <f t="shared" si="8"/>
        <v>0</v>
      </c>
      <c r="S44" s="663">
        <f t="shared" si="8"/>
        <v>0</v>
      </c>
      <c r="T44" s="664">
        <f t="shared" si="8"/>
        <v>0</v>
      </c>
      <c r="U44" s="664">
        <f t="shared" si="8"/>
        <v>0</v>
      </c>
      <c r="V44" s="179"/>
      <c r="W44" s="146" t="str">
        <f t="shared" si="3"/>
        <v/>
      </c>
      <c r="X44" s="84"/>
      <c r="Y44" s="84"/>
      <c r="Z44" s="84"/>
      <c r="AA44" s="84"/>
      <c r="AB44" s="84"/>
      <c r="AC44" s="84"/>
      <c r="AD44" s="84"/>
      <c r="AE44" s="62"/>
      <c r="AF44" s="84"/>
      <c r="AG44" s="84"/>
      <c r="AH44" s="84"/>
      <c r="AI44" s="84"/>
      <c r="AJ44" s="84"/>
      <c r="AK44" s="84"/>
      <c r="AL44" s="84"/>
      <c r="AM44" s="84"/>
      <c r="AN44" s="84"/>
      <c r="AO44" s="84"/>
      <c r="AP44" s="84"/>
      <c r="AQ44" s="84"/>
      <c r="AR44" s="84"/>
      <c r="AS44" s="84"/>
    </row>
    <row r="45" spans="1:45" s="104" customFormat="1" ht="12" customHeight="1" thickBot="1">
      <c r="A45" s="345"/>
      <c r="B45" s="284"/>
      <c r="C45" s="284"/>
      <c r="D45" s="285"/>
      <c r="E45" s="284"/>
      <c r="F45" s="232"/>
      <c r="G45" s="233"/>
      <c r="H45" s="233"/>
      <c r="I45" s="233"/>
      <c r="J45" s="233"/>
      <c r="K45" s="234"/>
      <c r="L45" s="286"/>
      <c r="M45" s="286"/>
      <c r="N45" s="286"/>
      <c r="O45" s="286"/>
      <c r="P45" s="286"/>
      <c r="Q45" s="286"/>
      <c r="R45" s="286"/>
      <c r="S45" s="286"/>
      <c r="T45" s="286"/>
      <c r="U45" s="286"/>
      <c r="V45" s="179"/>
      <c r="W45" s="146" t="str">
        <f t="shared" si="3"/>
        <v/>
      </c>
      <c r="X45" s="84"/>
      <c r="Y45" s="84"/>
      <c r="Z45" s="84"/>
      <c r="AA45" s="84"/>
      <c r="AB45" s="84"/>
      <c r="AC45" s="84"/>
      <c r="AD45" s="84"/>
      <c r="AE45" s="62"/>
      <c r="AF45" s="84"/>
      <c r="AG45" s="84"/>
      <c r="AH45" s="84"/>
      <c r="AI45" s="84"/>
      <c r="AJ45" s="84"/>
      <c r="AK45" s="84"/>
      <c r="AL45" s="84"/>
      <c r="AM45" s="84"/>
      <c r="AN45" s="84"/>
      <c r="AO45" s="84"/>
      <c r="AP45" s="84"/>
      <c r="AQ45" s="84"/>
      <c r="AR45" s="84"/>
      <c r="AS45" s="84"/>
    </row>
    <row r="46" spans="1:45" s="62" customFormat="1" ht="15" thickTop="1" thickBot="1">
      <c r="A46" s="346">
        <v>4</v>
      </c>
      <c r="B46" s="287" t="str">
        <f>VLOOKUP(D52,'Task Order Setup'!$A$6:$C$23,3,FALSE)</f>
        <v>.</v>
      </c>
      <c r="C46" s="288"/>
      <c r="D46" s="289"/>
      <c r="E46" s="290"/>
      <c r="F46" s="57"/>
      <c r="G46" s="57"/>
      <c r="H46" s="57"/>
      <c r="I46" s="57"/>
      <c r="J46" s="57"/>
      <c r="K46" s="57"/>
      <c r="L46" s="290"/>
      <c r="M46" s="290"/>
      <c r="N46" s="290"/>
      <c r="O46" s="290"/>
      <c r="P46" s="290"/>
      <c r="Q46" s="291"/>
      <c r="R46" s="292"/>
      <c r="S46" s="292"/>
      <c r="T46" s="292"/>
      <c r="U46" s="292"/>
      <c r="V46" s="179"/>
      <c r="W46" s="146" t="str">
        <f t="shared" si="3"/>
        <v/>
      </c>
      <c r="X46" s="84"/>
      <c r="Y46" s="84"/>
      <c r="Z46" s="84"/>
      <c r="AA46" s="84"/>
      <c r="AB46" s="84"/>
      <c r="AC46" s="84"/>
      <c r="AD46" s="84"/>
      <c r="AF46" s="84"/>
      <c r="AG46" s="84"/>
      <c r="AH46" s="84"/>
      <c r="AI46" s="84"/>
      <c r="AJ46" s="84"/>
      <c r="AK46" s="84"/>
      <c r="AL46" s="84"/>
      <c r="AM46" s="84"/>
      <c r="AN46" s="84"/>
      <c r="AO46" s="84"/>
      <c r="AP46" s="84"/>
      <c r="AQ46" s="84"/>
      <c r="AR46" s="84"/>
      <c r="AS46" s="84"/>
    </row>
    <row r="47" spans="1:45" s="104" customFormat="1" ht="12" customHeight="1" thickTop="1">
      <c r="A47" s="683">
        <v>4.0999999999999996</v>
      </c>
      <c r="B47" s="268" t="s">
        <v>79</v>
      </c>
      <c r="C47" s="268" t="str">
        <f>IF(B47&lt;&gt;"",VLOOKUP($B47,Rates!$H$7:$I$23,2,FALSE),"")</f>
        <v>-</v>
      </c>
      <c r="D47" s="293"/>
      <c r="E47" s="270"/>
      <c r="F47" s="236"/>
      <c r="G47" s="237"/>
      <c r="H47" s="237"/>
      <c r="I47" s="237"/>
      <c r="J47" s="238"/>
      <c r="K47" s="239"/>
      <c r="L47" s="271">
        <f>IF(E47&lt;&gt;"",VLOOKUP(E47,'Travel Rates'!$A$12:$B$17,2,FALSE),0)</f>
        <v>0</v>
      </c>
      <c r="M47" s="272">
        <f t="shared" ref="M47:N51" si="9">M$15</f>
        <v>170</v>
      </c>
      <c r="N47" s="272">
        <f t="shared" si="9"/>
        <v>180</v>
      </c>
      <c r="O47" s="273">
        <f>$O$15</f>
        <v>66</v>
      </c>
      <c r="P47" s="660">
        <f>((G47*H47)*L47)</f>
        <v>0</v>
      </c>
      <c r="Q47" s="660">
        <f>((G47*I47)*J47)*M47</f>
        <v>0</v>
      </c>
      <c r="R47" s="661">
        <f>(K47*G47)*'Travel Rates'!$B$7</f>
        <v>0</v>
      </c>
      <c r="S47" s="661">
        <f>(G47*H47)*(I47-1)*N47</f>
        <v>0</v>
      </c>
      <c r="T47" s="662">
        <f>((G47*H47)*I47)*O47</f>
        <v>0</v>
      </c>
      <c r="U47" s="662">
        <f>SUM(P47:T47)</f>
        <v>0</v>
      </c>
      <c r="V47" s="179"/>
      <c r="W47" s="146" t="str">
        <f t="shared" si="3"/>
        <v>4.</v>
      </c>
      <c r="X47" s="84"/>
      <c r="Y47" s="84"/>
      <c r="Z47" s="84"/>
      <c r="AA47" s="84"/>
      <c r="AB47" s="84"/>
      <c r="AC47" s="84"/>
      <c r="AD47" s="84"/>
      <c r="AE47" s="62"/>
      <c r="AF47" s="84"/>
      <c r="AG47" s="84"/>
      <c r="AH47" s="84"/>
      <c r="AI47" s="84"/>
      <c r="AJ47" s="84"/>
      <c r="AK47" s="84"/>
      <c r="AL47" s="84"/>
      <c r="AM47" s="84"/>
      <c r="AN47" s="84"/>
      <c r="AO47" s="84"/>
      <c r="AP47" s="84"/>
      <c r="AQ47" s="84"/>
      <c r="AR47" s="84"/>
      <c r="AS47" s="84"/>
    </row>
    <row r="48" spans="1:45" s="104" customFormat="1" ht="12" customHeight="1">
      <c r="A48" s="683">
        <v>4.2</v>
      </c>
      <c r="B48" s="268" t="s">
        <v>79</v>
      </c>
      <c r="C48" s="268" t="str">
        <f>IF(B48&lt;&gt;"",VLOOKUP($B48,Rates!$H$7:$I$23,2,FALSE),"")</f>
        <v>-</v>
      </c>
      <c r="D48" s="293"/>
      <c r="E48" s="270"/>
      <c r="F48" s="236"/>
      <c r="G48" s="237"/>
      <c r="H48" s="237"/>
      <c r="I48" s="237"/>
      <c r="J48" s="238"/>
      <c r="K48" s="239"/>
      <c r="L48" s="271">
        <f>IF(E48&lt;&gt;"",VLOOKUP(E48,'Travel Rates'!$A$12:$B$17,2,FALSE),0)</f>
        <v>0</v>
      </c>
      <c r="M48" s="272">
        <f t="shared" si="9"/>
        <v>170</v>
      </c>
      <c r="N48" s="272">
        <f t="shared" si="9"/>
        <v>180</v>
      </c>
      <c r="O48" s="273">
        <f>$O$15</f>
        <v>66</v>
      </c>
      <c r="P48" s="660">
        <f>((G48*H48)*L48)</f>
        <v>0</v>
      </c>
      <c r="Q48" s="660">
        <f>((G48*I48)*J48)*M48</f>
        <v>0</v>
      </c>
      <c r="R48" s="661">
        <f>(K48*G48)*'Travel Rates'!$B$7</f>
        <v>0</v>
      </c>
      <c r="S48" s="661">
        <f>(G48*H48)*(I48-1)*N48</f>
        <v>0</v>
      </c>
      <c r="T48" s="662">
        <f>((G48*H48)*I48)*O48</f>
        <v>0</v>
      </c>
      <c r="U48" s="662">
        <f>SUM(P48:T48)</f>
        <v>0</v>
      </c>
      <c r="V48" s="179"/>
      <c r="W48" s="146" t="str">
        <f t="shared" si="3"/>
        <v>4.</v>
      </c>
      <c r="X48" s="84"/>
      <c r="Y48" s="84"/>
      <c r="Z48" s="84"/>
      <c r="AA48" s="84"/>
      <c r="AB48" s="84"/>
      <c r="AC48" s="84"/>
      <c r="AD48" s="84"/>
      <c r="AE48" s="62"/>
      <c r="AF48" s="84"/>
      <c r="AG48" s="84"/>
      <c r="AH48" s="84"/>
      <c r="AI48" s="84"/>
      <c r="AJ48" s="84"/>
      <c r="AK48" s="84"/>
      <c r="AL48" s="84"/>
      <c r="AM48" s="84"/>
      <c r="AN48" s="84"/>
      <c r="AO48" s="84"/>
      <c r="AP48" s="84"/>
      <c r="AQ48" s="84"/>
      <c r="AR48" s="84"/>
      <c r="AS48" s="84"/>
    </row>
    <row r="49" spans="1:45" s="104" customFormat="1" ht="12" customHeight="1">
      <c r="A49" s="683">
        <v>4.3</v>
      </c>
      <c r="B49" s="268" t="s">
        <v>79</v>
      </c>
      <c r="C49" s="268" t="str">
        <f>IF(B49&lt;&gt;"",VLOOKUP($B49,Rates!$H$7:$I$23,2,FALSE),"")</f>
        <v>-</v>
      </c>
      <c r="D49" s="293"/>
      <c r="E49" s="270"/>
      <c r="F49" s="236"/>
      <c r="G49" s="237"/>
      <c r="H49" s="237"/>
      <c r="I49" s="237"/>
      <c r="J49" s="238"/>
      <c r="K49" s="239"/>
      <c r="L49" s="271">
        <f>IF(E49&lt;&gt;"",VLOOKUP(E49,'Travel Rates'!$A$12:$B$17,2,FALSE),0)</f>
        <v>0</v>
      </c>
      <c r="M49" s="272">
        <f t="shared" si="9"/>
        <v>170</v>
      </c>
      <c r="N49" s="272">
        <f t="shared" si="9"/>
        <v>180</v>
      </c>
      <c r="O49" s="273">
        <f>$O$15</f>
        <v>66</v>
      </c>
      <c r="P49" s="660">
        <f>((G49*H49)*L49)</f>
        <v>0</v>
      </c>
      <c r="Q49" s="660">
        <f>((G49*I49)*J49)*M49</f>
        <v>0</v>
      </c>
      <c r="R49" s="661">
        <f>(K49*G49)*'Travel Rates'!$B$7</f>
        <v>0</v>
      </c>
      <c r="S49" s="661">
        <f>(G49*H49)*(I49-1)*N49</f>
        <v>0</v>
      </c>
      <c r="T49" s="662">
        <f>((G49*H49)*I49)*O49</f>
        <v>0</v>
      </c>
      <c r="U49" s="662">
        <f>SUM(P49:T49)</f>
        <v>0</v>
      </c>
      <c r="V49" s="179"/>
      <c r="W49" s="146" t="str">
        <f t="shared" si="3"/>
        <v>4.</v>
      </c>
      <c r="X49" s="84"/>
      <c r="Y49" s="84"/>
      <c r="Z49" s="84"/>
      <c r="AA49" s="84"/>
      <c r="AB49" s="84"/>
      <c r="AC49" s="84"/>
      <c r="AD49" s="84"/>
      <c r="AE49" s="62"/>
      <c r="AF49" s="84"/>
      <c r="AG49" s="84"/>
      <c r="AH49" s="84"/>
      <c r="AI49" s="84"/>
      <c r="AJ49" s="84"/>
      <c r="AK49" s="84"/>
      <c r="AL49" s="84"/>
      <c r="AM49" s="84"/>
      <c r="AN49" s="84"/>
      <c r="AO49" s="84"/>
      <c r="AP49" s="84"/>
      <c r="AQ49" s="84"/>
      <c r="AR49" s="84"/>
      <c r="AS49" s="84"/>
    </row>
    <row r="50" spans="1:45" s="104" customFormat="1" ht="12" customHeight="1">
      <c r="A50" s="683">
        <v>4.4000000000000004</v>
      </c>
      <c r="B50" s="268" t="s">
        <v>79</v>
      </c>
      <c r="C50" s="268" t="str">
        <f>IF(B50&lt;&gt;"",VLOOKUP($B50,Rates!$H$7:$I$23,2,FALSE),"")</f>
        <v>-</v>
      </c>
      <c r="D50" s="293"/>
      <c r="E50" s="270"/>
      <c r="F50" s="240"/>
      <c r="G50" s="222"/>
      <c r="H50" s="222"/>
      <c r="I50" s="222"/>
      <c r="J50" s="223"/>
      <c r="K50" s="239"/>
      <c r="L50" s="271">
        <f>IF(E50&lt;&gt;"",VLOOKUP(E50,'Travel Rates'!$A$12:$B$17,2,FALSE),0)</f>
        <v>0</v>
      </c>
      <c r="M50" s="272">
        <f t="shared" si="9"/>
        <v>170</v>
      </c>
      <c r="N50" s="274">
        <f t="shared" si="9"/>
        <v>180</v>
      </c>
      <c r="O50" s="273">
        <f>$O$15</f>
        <v>66</v>
      </c>
      <c r="P50" s="660">
        <f>((G50*H50)*L50)</f>
        <v>0</v>
      </c>
      <c r="Q50" s="660">
        <f>((G50*I50)*J50)*M50</f>
        <v>0</v>
      </c>
      <c r="R50" s="661">
        <f>(K50*G50)*'Travel Rates'!$B$7</f>
        <v>0</v>
      </c>
      <c r="S50" s="661">
        <f>(G50*H50)*(I50-1)*N50</f>
        <v>0</v>
      </c>
      <c r="T50" s="662">
        <f>((G50*H50)*I50)*O50</f>
        <v>0</v>
      </c>
      <c r="U50" s="662">
        <f>SUM(P50:T50)</f>
        <v>0</v>
      </c>
      <c r="V50" s="179"/>
      <c r="W50" s="146" t="str">
        <f t="shared" si="3"/>
        <v>4.</v>
      </c>
      <c r="X50" s="84"/>
      <c r="Y50" s="84"/>
      <c r="Z50" s="84"/>
      <c r="AA50" s="84"/>
      <c r="AB50" s="84"/>
      <c r="AC50" s="84"/>
      <c r="AD50" s="84"/>
      <c r="AE50" s="62"/>
      <c r="AF50" s="84"/>
      <c r="AG50" s="84"/>
      <c r="AH50" s="84"/>
      <c r="AI50" s="84"/>
      <c r="AJ50" s="84"/>
      <c r="AK50" s="84"/>
      <c r="AL50" s="84"/>
      <c r="AM50" s="84"/>
      <c r="AN50" s="84"/>
      <c r="AO50" s="84"/>
      <c r="AP50" s="84"/>
      <c r="AQ50" s="84"/>
      <c r="AR50" s="84"/>
      <c r="AS50" s="84"/>
    </row>
    <row r="51" spans="1:45" s="104" customFormat="1" ht="12" customHeight="1">
      <c r="A51" s="683">
        <v>4.5</v>
      </c>
      <c r="B51" s="268" t="s">
        <v>79</v>
      </c>
      <c r="C51" s="268" t="str">
        <f>IF(B51&lt;&gt;"",VLOOKUP($B51,Rates!$H$7:$I$23,2,FALSE),"")</f>
        <v>-</v>
      </c>
      <c r="D51" s="293"/>
      <c r="E51" s="270"/>
      <c r="F51" s="240"/>
      <c r="G51" s="222"/>
      <c r="H51" s="222"/>
      <c r="I51" s="222"/>
      <c r="J51" s="223"/>
      <c r="K51" s="239"/>
      <c r="L51" s="271">
        <f>IF(E51&lt;&gt;"",VLOOKUP(E51,'Travel Rates'!$A$12:$B$17,2,FALSE),0)</f>
        <v>0</v>
      </c>
      <c r="M51" s="272">
        <f t="shared" si="9"/>
        <v>170</v>
      </c>
      <c r="N51" s="274">
        <f t="shared" si="9"/>
        <v>180</v>
      </c>
      <c r="O51" s="273">
        <f>$O$15</f>
        <v>66</v>
      </c>
      <c r="P51" s="660">
        <f>((G51*H51)*L51)</f>
        <v>0</v>
      </c>
      <c r="Q51" s="660">
        <f>((G51*I51)*J51)*M51</f>
        <v>0</v>
      </c>
      <c r="R51" s="661">
        <f>(K51*G51)*'Travel Rates'!$B$7</f>
        <v>0</v>
      </c>
      <c r="S51" s="661">
        <f>(G51*H51)*(I51-1)*N51</f>
        <v>0</v>
      </c>
      <c r="T51" s="662">
        <f>((G51*H51)*I51)*O51</f>
        <v>0</v>
      </c>
      <c r="U51" s="662">
        <f>SUM(P51:T51)</f>
        <v>0</v>
      </c>
      <c r="V51" s="179"/>
      <c r="W51" s="146" t="str">
        <f t="shared" si="3"/>
        <v>4.</v>
      </c>
      <c r="X51" s="84"/>
      <c r="Y51" s="84"/>
      <c r="Z51" s="84"/>
      <c r="AA51" s="84"/>
      <c r="AB51" s="84"/>
      <c r="AC51" s="84"/>
      <c r="AD51" s="84"/>
      <c r="AE51" s="62"/>
      <c r="AF51" s="84"/>
      <c r="AG51" s="84"/>
      <c r="AH51" s="84"/>
      <c r="AI51" s="84"/>
      <c r="AJ51" s="84"/>
      <c r="AK51" s="84"/>
      <c r="AL51" s="84"/>
      <c r="AM51" s="84"/>
      <c r="AN51" s="84"/>
      <c r="AO51" s="84"/>
      <c r="AP51" s="84"/>
      <c r="AQ51" s="84"/>
      <c r="AR51" s="84"/>
      <c r="AS51" s="84"/>
    </row>
    <row r="52" spans="1:45" s="104" customFormat="1" ht="12" customHeight="1">
      <c r="A52" s="344" t="str">
        <f>$A$28</f>
        <v>Total</v>
      </c>
      <c r="B52" s="278"/>
      <c r="C52" s="277"/>
      <c r="D52" s="298" t="str">
        <f>"Subtask No. "&amp;A46</f>
        <v>Subtask No. 4</v>
      </c>
      <c r="E52" s="280"/>
      <c r="F52" s="228"/>
      <c r="G52" s="229">
        <f>SUM(G47:G51)</f>
        <v>0</v>
      </c>
      <c r="H52" s="229">
        <f>SUM(H47:H51)</f>
        <v>0</v>
      </c>
      <c r="I52" s="229">
        <f>SUM(I47:I51)</f>
        <v>0</v>
      </c>
      <c r="J52" s="230">
        <f>SUM(J47:J51)</f>
        <v>0</v>
      </c>
      <c r="K52" s="231">
        <f>SUM(K47:K51)</f>
        <v>0</v>
      </c>
      <c r="L52" s="281" t="s">
        <v>0</v>
      </c>
      <c r="M52" s="282" t="s">
        <v>0</v>
      </c>
      <c r="N52" s="282" t="s">
        <v>0</v>
      </c>
      <c r="O52" s="283" t="s">
        <v>0</v>
      </c>
      <c r="P52" s="663">
        <f t="shared" ref="P52:U52" si="10">SUM(P47:P51)</f>
        <v>0</v>
      </c>
      <c r="Q52" s="663">
        <f t="shared" si="10"/>
        <v>0</v>
      </c>
      <c r="R52" s="663">
        <f t="shared" si="10"/>
        <v>0</v>
      </c>
      <c r="S52" s="663">
        <f t="shared" si="10"/>
        <v>0</v>
      </c>
      <c r="T52" s="664">
        <f t="shared" si="10"/>
        <v>0</v>
      </c>
      <c r="U52" s="664">
        <f t="shared" si="10"/>
        <v>0</v>
      </c>
      <c r="V52" s="179"/>
      <c r="W52" s="146" t="str">
        <f t="shared" si="3"/>
        <v/>
      </c>
      <c r="X52" s="84"/>
      <c r="Y52" s="84"/>
      <c r="Z52" s="84"/>
      <c r="AA52" s="84"/>
      <c r="AB52" s="84"/>
      <c r="AC52" s="84"/>
      <c r="AD52" s="84"/>
      <c r="AE52" s="62"/>
      <c r="AF52" s="84"/>
      <c r="AG52" s="84"/>
      <c r="AH52" s="84"/>
      <c r="AI52" s="84"/>
      <c r="AJ52" s="84"/>
      <c r="AK52" s="84"/>
      <c r="AL52" s="84"/>
      <c r="AM52" s="84"/>
      <c r="AN52" s="84"/>
      <c r="AO52" s="84"/>
      <c r="AP52" s="84"/>
      <c r="AQ52" s="84"/>
      <c r="AR52" s="84"/>
      <c r="AS52" s="84"/>
    </row>
    <row r="53" spans="1:45" s="104" customFormat="1" ht="12" customHeight="1" thickBot="1">
      <c r="A53" s="345"/>
      <c r="B53" s="284"/>
      <c r="C53" s="284"/>
      <c r="D53" s="285"/>
      <c r="E53" s="284"/>
      <c r="F53" s="232"/>
      <c r="G53" s="233"/>
      <c r="H53" s="233"/>
      <c r="I53" s="233"/>
      <c r="J53" s="233"/>
      <c r="K53" s="234"/>
      <c r="L53" s="286"/>
      <c r="M53" s="286"/>
      <c r="N53" s="286"/>
      <c r="O53" s="286"/>
      <c r="P53" s="286"/>
      <c r="Q53" s="286"/>
      <c r="R53" s="286"/>
      <c r="S53" s="286"/>
      <c r="T53" s="286"/>
      <c r="U53" s="286"/>
      <c r="V53" s="179"/>
      <c r="W53" s="146" t="str">
        <f t="shared" si="3"/>
        <v/>
      </c>
      <c r="X53" s="84"/>
      <c r="Y53" s="84"/>
      <c r="Z53" s="84"/>
      <c r="AA53" s="84"/>
      <c r="AB53" s="84"/>
      <c r="AC53" s="84"/>
      <c r="AD53" s="84"/>
      <c r="AE53" s="62"/>
      <c r="AF53" s="84"/>
      <c r="AG53" s="84"/>
      <c r="AH53" s="84"/>
      <c r="AI53" s="84"/>
      <c r="AJ53" s="84"/>
      <c r="AK53" s="84"/>
      <c r="AL53" s="84"/>
      <c r="AM53" s="84"/>
      <c r="AN53" s="84"/>
      <c r="AO53" s="84"/>
      <c r="AP53" s="84"/>
      <c r="AQ53" s="84"/>
      <c r="AR53" s="84"/>
      <c r="AS53" s="84"/>
    </row>
    <row r="54" spans="1:45" s="62" customFormat="1" ht="15" thickTop="1" thickBot="1">
      <c r="A54" s="346">
        <v>5</v>
      </c>
      <c r="B54" s="287" t="str">
        <f>VLOOKUP(D60,'Task Order Setup'!$A$6:$C$23,3,FALSE)</f>
        <v>.</v>
      </c>
      <c r="C54" s="288"/>
      <c r="D54" s="289"/>
      <c r="E54" s="290"/>
      <c r="F54" s="57"/>
      <c r="G54" s="57"/>
      <c r="H54" s="57"/>
      <c r="I54" s="57"/>
      <c r="J54" s="57"/>
      <c r="K54" s="57"/>
      <c r="L54" s="290"/>
      <c r="M54" s="290"/>
      <c r="N54" s="290"/>
      <c r="O54" s="290"/>
      <c r="P54" s="290"/>
      <c r="Q54" s="291"/>
      <c r="R54" s="292"/>
      <c r="S54" s="292"/>
      <c r="T54" s="292"/>
      <c r="U54" s="292"/>
      <c r="V54" s="179"/>
      <c r="W54" s="146" t="str">
        <f t="shared" si="3"/>
        <v/>
      </c>
      <c r="X54" s="84"/>
      <c r="Y54" s="84"/>
      <c r="Z54" s="84"/>
      <c r="AA54" s="84"/>
      <c r="AB54" s="84"/>
      <c r="AC54" s="84"/>
      <c r="AD54" s="84"/>
      <c r="AF54" s="84"/>
      <c r="AG54" s="84"/>
      <c r="AH54" s="84"/>
      <c r="AI54" s="84"/>
      <c r="AJ54" s="84"/>
      <c r="AK54" s="84"/>
      <c r="AL54" s="84"/>
      <c r="AM54" s="84"/>
      <c r="AN54" s="84"/>
      <c r="AO54" s="84"/>
      <c r="AP54" s="84"/>
      <c r="AQ54" s="84"/>
      <c r="AR54" s="84"/>
      <c r="AS54" s="84"/>
    </row>
    <row r="55" spans="1:45" s="104" customFormat="1" ht="12" customHeight="1" thickTop="1">
      <c r="A55" s="683">
        <v>5.0999999999999996</v>
      </c>
      <c r="B55" s="268" t="s">
        <v>79</v>
      </c>
      <c r="C55" s="268" t="str">
        <f>IF(B55&lt;&gt;"",VLOOKUP($B55,Rates!$H$7:$I$23,2,FALSE),"")</f>
        <v>-</v>
      </c>
      <c r="D55" s="293"/>
      <c r="E55" s="270"/>
      <c r="F55" s="236"/>
      <c r="G55" s="237">
        <v>0</v>
      </c>
      <c r="H55" s="237">
        <v>0</v>
      </c>
      <c r="I55" s="237">
        <v>0</v>
      </c>
      <c r="J55" s="238">
        <v>0</v>
      </c>
      <c r="K55" s="239"/>
      <c r="L55" s="271">
        <f>IF(E55&lt;&gt;"",VLOOKUP(E55,'Travel Rates'!$A$12:$B$17,2,FALSE),0)</f>
        <v>0</v>
      </c>
      <c r="M55" s="272">
        <f t="shared" ref="M55:N59" si="11">M$15</f>
        <v>170</v>
      </c>
      <c r="N55" s="272">
        <f t="shared" si="11"/>
        <v>180</v>
      </c>
      <c r="O55" s="273">
        <f>$O$15</f>
        <v>66</v>
      </c>
      <c r="P55" s="660">
        <f>((G55*H55)*L55)</f>
        <v>0</v>
      </c>
      <c r="Q55" s="660">
        <f>((G55*I55)*J55)*M55</f>
        <v>0</v>
      </c>
      <c r="R55" s="661">
        <f>(K55*G55)*'Travel Rates'!$B$7</f>
        <v>0</v>
      </c>
      <c r="S55" s="661">
        <f>(G55*H55)*(I55-1)*N55</f>
        <v>0</v>
      </c>
      <c r="T55" s="662">
        <f>((G55*H55)*I55)*O55</f>
        <v>0</v>
      </c>
      <c r="U55" s="662">
        <f>SUM(P55:T55)</f>
        <v>0</v>
      </c>
      <c r="V55" s="179"/>
      <c r="W55" s="146" t="str">
        <f t="shared" si="3"/>
        <v>5.</v>
      </c>
      <c r="X55" s="84"/>
      <c r="Y55" s="84"/>
      <c r="Z55" s="84"/>
      <c r="AA55" s="84"/>
      <c r="AB55" s="84"/>
      <c r="AC55" s="84"/>
      <c r="AD55" s="84"/>
      <c r="AE55" s="62"/>
      <c r="AF55" s="84"/>
      <c r="AG55" s="84"/>
      <c r="AH55" s="84"/>
      <c r="AI55" s="84"/>
      <c r="AJ55" s="84"/>
      <c r="AK55" s="84"/>
      <c r="AL55" s="84"/>
      <c r="AM55" s="84"/>
      <c r="AN55" s="84"/>
      <c r="AO55" s="84"/>
      <c r="AP55" s="84"/>
      <c r="AQ55" s="84"/>
      <c r="AR55" s="84"/>
      <c r="AS55" s="84"/>
    </row>
    <row r="56" spans="1:45" s="104" customFormat="1" ht="12" customHeight="1">
      <c r="A56" s="683">
        <v>5.2</v>
      </c>
      <c r="B56" s="268" t="s">
        <v>79</v>
      </c>
      <c r="C56" s="268" t="str">
        <f>IF(B56&lt;&gt;"",VLOOKUP($B56,Rates!$H$7:$I$23,2,FALSE),"")</f>
        <v>-</v>
      </c>
      <c r="D56" s="293"/>
      <c r="E56" s="270"/>
      <c r="F56" s="240"/>
      <c r="G56" s="222">
        <v>0</v>
      </c>
      <c r="H56" s="222">
        <v>0</v>
      </c>
      <c r="I56" s="222">
        <v>0</v>
      </c>
      <c r="J56" s="223">
        <v>0</v>
      </c>
      <c r="K56" s="239"/>
      <c r="L56" s="271">
        <f>IF(E56&lt;&gt;"",VLOOKUP(E56,'Travel Rates'!$A$12:$B$17,2,FALSE),0)</f>
        <v>0</v>
      </c>
      <c r="M56" s="272">
        <f t="shared" si="11"/>
        <v>170</v>
      </c>
      <c r="N56" s="274">
        <f t="shared" si="11"/>
        <v>180</v>
      </c>
      <c r="O56" s="273">
        <f>$O$15</f>
        <v>66</v>
      </c>
      <c r="P56" s="660">
        <f>((G56*H56)*L56)</f>
        <v>0</v>
      </c>
      <c r="Q56" s="660">
        <f>((G56*I56)*J56)*M56</f>
        <v>0</v>
      </c>
      <c r="R56" s="661">
        <f>(K56*G56)*'Travel Rates'!$B$7</f>
        <v>0</v>
      </c>
      <c r="S56" s="661">
        <f>(G56*H56)*(I56-1)*N56</f>
        <v>0</v>
      </c>
      <c r="T56" s="662">
        <f>((G56*H56)*I56)*O56</f>
        <v>0</v>
      </c>
      <c r="U56" s="662">
        <f>SUM(P56:T56)</f>
        <v>0</v>
      </c>
      <c r="V56" s="179"/>
      <c r="W56" s="146" t="str">
        <f t="shared" si="3"/>
        <v>5.</v>
      </c>
      <c r="X56" s="84"/>
      <c r="Y56" s="84"/>
      <c r="Z56" s="84"/>
      <c r="AA56" s="84"/>
      <c r="AB56" s="84"/>
      <c r="AC56" s="84"/>
      <c r="AD56" s="84"/>
      <c r="AE56" s="62"/>
      <c r="AF56" s="84"/>
      <c r="AG56" s="84"/>
      <c r="AH56" s="84"/>
      <c r="AI56" s="84"/>
      <c r="AJ56" s="84"/>
      <c r="AK56" s="84"/>
      <c r="AL56" s="84"/>
      <c r="AM56" s="84"/>
      <c r="AN56" s="84"/>
      <c r="AO56" s="84"/>
      <c r="AP56" s="84"/>
      <c r="AQ56" s="84"/>
      <c r="AR56" s="84"/>
      <c r="AS56" s="84"/>
    </row>
    <row r="57" spans="1:45" s="104" customFormat="1" ht="12" customHeight="1">
      <c r="A57" s="683">
        <v>5.3</v>
      </c>
      <c r="B57" s="268" t="s">
        <v>79</v>
      </c>
      <c r="C57" s="268" t="str">
        <f>IF(B57&lt;&gt;"",VLOOKUP($B57,Rates!$H$7:$I$23,2,FALSE),"")</f>
        <v>-</v>
      </c>
      <c r="D57" s="293"/>
      <c r="E57" s="294"/>
      <c r="F57" s="240" t="s">
        <v>0</v>
      </c>
      <c r="G57" s="222"/>
      <c r="H57" s="222"/>
      <c r="I57" s="222"/>
      <c r="J57" s="223"/>
      <c r="K57" s="239"/>
      <c r="L57" s="271">
        <f>IF(E57&lt;&gt;"",VLOOKUP(E57,'Travel Rates'!$A$12:$B$17,2,FALSE),0)</f>
        <v>0</v>
      </c>
      <c r="M57" s="272">
        <f t="shared" si="11"/>
        <v>170</v>
      </c>
      <c r="N57" s="274">
        <f t="shared" si="11"/>
        <v>180</v>
      </c>
      <c r="O57" s="273">
        <f>$O$15</f>
        <v>66</v>
      </c>
      <c r="P57" s="660">
        <f>((G57*H57)*L57)</f>
        <v>0</v>
      </c>
      <c r="Q57" s="660">
        <f>((G57*I57)*J57)*M57</f>
        <v>0</v>
      </c>
      <c r="R57" s="661">
        <f>(K57*G57)*'Travel Rates'!$B$7</f>
        <v>0</v>
      </c>
      <c r="S57" s="661">
        <f>(G57*H57)*(I57-1)*N57</f>
        <v>0</v>
      </c>
      <c r="T57" s="662">
        <f>((G57*H57)*I57)*O57</f>
        <v>0</v>
      </c>
      <c r="U57" s="662">
        <f>SUM(P57:T57)</f>
        <v>0</v>
      </c>
      <c r="V57" s="179"/>
      <c r="W57" s="146" t="str">
        <f t="shared" si="3"/>
        <v>5.</v>
      </c>
      <c r="X57" s="84"/>
      <c r="Y57" s="84"/>
      <c r="Z57" s="84"/>
      <c r="AA57" s="84"/>
      <c r="AB57" s="84"/>
      <c r="AC57" s="84"/>
      <c r="AD57" s="84"/>
      <c r="AE57" s="62"/>
      <c r="AF57" s="84"/>
      <c r="AG57" s="84"/>
      <c r="AH57" s="84"/>
      <c r="AI57" s="84"/>
      <c r="AJ57" s="84"/>
      <c r="AK57" s="84"/>
      <c r="AL57" s="84"/>
      <c r="AM57" s="84"/>
      <c r="AN57" s="84"/>
      <c r="AO57" s="84"/>
      <c r="AP57" s="84"/>
      <c r="AQ57" s="84"/>
      <c r="AR57" s="84"/>
      <c r="AS57" s="84"/>
    </row>
    <row r="58" spans="1:45" s="104" customFormat="1" ht="12" customHeight="1">
      <c r="A58" s="683">
        <v>5.4</v>
      </c>
      <c r="B58" s="268" t="s">
        <v>79</v>
      </c>
      <c r="C58" s="268" t="str">
        <f>IF(B58&lt;&gt;"",VLOOKUP($B58,Rates!$H$7:$I$23,2,FALSE),"")</f>
        <v>-</v>
      </c>
      <c r="D58" s="293"/>
      <c r="E58" s="294"/>
      <c r="F58" s="240" t="s">
        <v>0</v>
      </c>
      <c r="G58" s="222"/>
      <c r="H58" s="222"/>
      <c r="I58" s="222"/>
      <c r="J58" s="223"/>
      <c r="K58" s="239"/>
      <c r="L58" s="271">
        <f>IF(E58&lt;&gt;"",VLOOKUP(E58,'Travel Rates'!$A$12:$B$17,2,FALSE),0)</f>
        <v>0</v>
      </c>
      <c r="M58" s="272">
        <f t="shared" si="11"/>
        <v>170</v>
      </c>
      <c r="N58" s="274">
        <f t="shared" si="11"/>
        <v>180</v>
      </c>
      <c r="O58" s="273">
        <f>$O$15</f>
        <v>66</v>
      </c>
      <c r="P58" s="660">
        <f>((G58*H58)*L58)</f>
        <v>0</v>
      </c>
      <c r="Q58" s="660">
        <f>((G58*I58)*J58)*M58</f>
        <v>0</v>
      </c>
      <c r="R58" s="661">
        <f>(K58*G58)*'Travel Rates'!$B$7</f>
        <v>0</v>
      </c>
      <c r="S58" s="661">
        <f>(G58*H58)*(I58-1)*N58</f>
        <v>0</v>
      </c>
      <c r="T58" s="662">
        <f>((G58*H58)*I58)*O58</f>
        <v>0</v>
      </c>
      <c r="U58" s="662">
        <f>SUM(P58:T58)</f>
        <v>0</v>
      </c>
      <c r="V58" s="179"/>
      <c r="W58" s="146" t="str">
        <f t="shared" si="3"/>
        <v>5.</v>
      </c>
      <c r="X58" s="84"/>
      <c r="Y58" s="84"/>
      <c r="Z58" s="84"/>
      <c r="AA58" s="84"/>
      <c r="AB58" s="84"/>
      <c r="AC58" s="84"/>
      <c r="AD58" s="84"/>
      <c r="AE58" s="62"/>
      <c r="AF58" s="84"/>
      <c r="AG58" s="84"/>
      <c r="AH58" s="84"/>
      <c r="AI58" s="84"/>
      <c r="AJ58" s="84"/>
      <c r="AK58" s="84"/>
      <c r="AL58" s="84"/>
      <c r="AM58" s="84"/>
      <c r="AN58" s="84"/>
      <c r="AO58" s="84"/>
      <c r="AP58" s="84"/>
      <c r="AQ58" s="84"/>
      <c r="AR58" s="84"/>
      <c r="AS58" s="84"/>
    </row>
    <row r="59" spans="1:45" s="104" customFormat="1" ht="12" customHeight="1">
      <c r="A59" s="683">
        <v>5.5</v>
      </c>
      <c r="B59" s="268" t="s">
        <v>79</v>
      </c>
      <c r="C59" s="268" t="str">
        <f>IF(B59&lt;&gt;"",VLOOKUP($B59,Rates!$H$7:$I$23,2,FALSE),"")</f>
        <v>-</v>
      </c>
      <c r="D59" s="295"/>
      <c r="E59" s="276"/>
      <c r="F59" s="224" t="s">
        <v>0</v>
      </c>
      <c r="G59" s="225"/>
      <c r="H59" s="225"/>
      <c r="I59" s="225"/>
      <c r="J59" s="226"/>
      <c r="K59" s="227"/>
      <c r="L59" s="271">
        <f>IF(E59&lt;&gt;"",VLOOKUP(E59,'Travel Rates'!$A$12:$B$17,2,FALSE),0)</f>
        <v>0</v>
      </c>
      <c r="M59" s="296">
        <f t="shared" si="11"/>
        <v>170</v>
      </c>
      <c r="N59" s="297">
        <f t="shared" si="11"/>
        <v>180</v>
      </c>
      <c r="O59" s="273">
        <f>$O$15</f>
        <v>66</v>
      </c>
      <c r="P59" s="660">
        <f>((G59*H59)*L59)</f>
        <v>0</v>
      </c>
      <c r="Q59" s="660">
        <f>((G59*I59)*J59)*M59</f>
        <v>0</v>
      </c>
      <c r="R59" s="661">
        <f>(K59*G59)*'Travel Rates'!$B$7</f>
        <v>0</v>
      </c>
      <c r="S59" s="661">
        <f>(G59*H59)*(I59-1)*N59</f>
        <v>0</v>
      </c>
      <c r="T59" s="662">
        <f>((G59*H59)*I59)*O59</f>
        <v>0</v>
      </c>
      <c r="U59" s="662">
        <f>SUM(P59:T59)</f>
        <v>0</v>
      </c>
      <c r="V59" s="179"/>
      <c r="W59" s="146" t="str">
        <f t="shared" si="3"/>
        <v>5.</v>
      </c>
      <c r="X59" s="84"/>
      <c r="Y59" s="84"/>
      <c r="Z59" s="84"/>
      <c r="AA59" s="84"/>
      <c r="AB59" s="84"/>
      <c r="AC59" s="84"/>
      <c r="AD59" s="84"/>
      <c r="AE59" s="62"/>
      <c r="AF59" s="84"/>
      <c r="AG59" s="84"/>
      <c r="AH59" s="84"/>
      <c r="AI59" s="84"/>
      <c r="AJ59" s="84"/>
      <c r="AK59" s="84"/>
      <c r="AL59" s="84"/>
      <c r="AM59" s="84"/>
      <c r="AN59" s="84"/>
      <c r="AO59" s="84"/>
      <c r="AP59" s="84"/>
      <c r="AQ59" s="84"/>
      <c r="AR59" s="84"/>
      <c r="AS59" s="84"/>
    </row>
    <row r="60" spans="1:45" s="104" customFormat="1" ht="12" customHeight="1">
      <c r="A60" s="344" t="str">
        <f>$A$28</f>
        <v>Total</v>
      </c>
      <c r="B60" s="278"/>
      <c r="C60" s="277"/>
      <c r="D60" s="279" t="str">
        <f>"Subtask No. "&amp;A54</f>
        <v>Subtask No. 5</v>
      </c>
      <c r="E60" s="280"/>
      <c r="F60" s="228"/>
      <c r="G60" s="229">
        <f>SUM(G55:G59)</f>
        <v>0</v>
      </c>
      <c r="H60" s="229">
        <f>SUM(H55:H59)</f>
        <v>0</v>
      </c>
      <c r="I60" s="229">
        <f>SUM(I55:I59)</f>
        <v>0</v>
      </c>
      <c r="J60" s="230">
        <f>SUM(J55:J59)</f>
        <v>0</v>
      </c>
      <c r="K60" s="231">
        <f>SUM(K55:K59)</f>
        <v>0</v>
      </c>
      <c r="L60" s="281" t="s">
        <v>0</v>
      </c>
      <c r="M60" s="282" t="s">
        <v>0</v>
      </c>
      <c r="N60" s="282" t="s">
        <v>0</v>
      </c>
      <c r="O60" s="283" t="s">
        <v>0</v>
      </c>
      <c r="P60" s="663">
        <f t="shared" ref="P60:U60" si="12">SUM(P55:P59)</f>
        <v>0</v>
      </c>
      <c r="Q60" s="663">
        <f t="shared" si="12"/>
        <v>0</v>
      </c>
      <c r="R60" s="663">
        <f t="shared" si="12"/>
        <v>0</v>
      </c>
      <c r="S60" s="663">
        <f t="shared" si="12"/>
        <v>0</v>
      </c>
      <c r="T60" s="664">
        <f t="shared" si="12"/>
        <v>0</v>
      </c>
      <c r="U60" s="664">
        <f t="shared" si="12"/>
        <v>0</v>
      </c>
      <c r="V60" s="179"/>
      <c r="W60" s="146" t="str">
        <f t="shared" si="3"/>
        <v/>
      </c>
      <c r="X60" s="84"/>
      <c r="Y60" s="84"/>
      <c r="Z60" s="84"/>
      <c r="AA60" s="84"/>
      <c r="AB60" s="84"/>
      <c r="AC60" s="84"/>
      <c r="AD60" s="84"/>
      <c r="AE60" s="62"/>
      <c r="AF60" s="84"/>
      <c r="AG60" s="84"/>
      <c r="AH60" s="84"/>
      <c r="AI60" s="84"/>
      <c r="AJ60" s="84"/>
      <c r="AK60" s="84"/>
      <c r="AL60" s="84"/>
      <c r="AM60" s="84"/>
      <c r="AN60" s="84"/>
      <c r="AO60" s="84"/>
      <c r="AP60" s="84"/>
      <c r="AQ60" s="84"/>
      <c r="AR60" s="84"/>
      <c r="AS60" s="84"/>
    </row>
    <row r="61" spans="1:45" s="104" customFormat="1" ht="12" customHeight="1" thickBot="1">
      <c r="A61" s="345"/>
      <c r="B61" s="284"/>
      <c r="C61" s="284"/>
      <c r="D61" s="285"/>
      <c r="E61" s="284"/>
      <c r="F61" s="232"/>
      <c r="G61" s="233"/>
      <c r="H61" s="233"/>
      <c r="I61" s="233"/>
      <c r="J61" s="233"/>
      <c r="K61" s="234"/>
      <c r="L61" s="286"/>
      <c r="M61" s="286"/>
      <c r="N61" s="286"/>
      <c r="O61" s="286"/>
      <c r="P61" s="286"/>
      <c r="Q61" s="286"/>
      <c r="R61" s="286"/>
      <c r="S61" s="286"/>
      <c r="T61" s="286"/>
      <c r="U61" s="286"/>
      <c r="V61" s="179"/>
      <c r="W61" s="146" t="str">
        <f t="shared" si="3"/>
        <v/>
      </c>
      <c r="X61" s="84"/>
      <c r="Y61" s="84"/>
      <c r="Z61" s="84"/>
      <c r="AA61" s="84"/>
      <c r="AB61" s="84"/>
      <c r="AC61" s="84"/>
      <c r="AD61" s="84"/>
      <c r="AE61" s="62"/>
      <c r="AF61" s="84"/>
      <c r="AG61" s="84"/>
      <c r="AH61" s="84"/>
      <c r="AI61" s="84"/>
      <c r="AJ61" s="84"/>
      <c r="AK61" s="84"/>
      <c r="AL61" s="84"/>
      <c r="AM61" s="84"/>
      <c r="AN61" s="84"/>
      <c r="AO61" s="84"/>
      <c r="AP61" s="84"/>
      <c r="AQ61" s="84"/>
      <c r="AR61" s="84"/>
      <c r="AS61" s="84"/>
    </row>
    <row r="62" spans="1:45" s="62" customFormat="1" ht="15" thickTop="1" thickBot="1">
      <c r="A62" s="346">
        <v>6</v>
      </c>
      <c r="B62" s="287" t="str">
        <f>VLOOKUP(D68,'Task Order Setup'!$A$6:$C$23,3,FALSE)</f>
        <v>.</v>
      </c>
      <c r="C62" s="288"/>
      <c r="D62" s="289"/>
      <c r="E62" s="290"/>
      <c r="F62" s="57"/>
      <c r="G62" s="57"/>
      <c r="H62" s="57"/>
      <c r="I62" s="57"/>
      <c r="J62" s="57"/>
      <c r="K62" s="57"/>
      <c r="L62" s="290"/>
      <c r="M62" s="290"/>
      <c r="N62" s="290"/>
      <c r="O62" s="290"/>
      <c r="P62" s="290"/>
      <c r="Q62" s="291"/>
      <c r="R62" s="292"/>
      <c r="S62" s="292"/>
      <c r="T62" s="292"/>
      <c r="U62" s="292"/>
      <c r="V62" s="179"/>
      <c r="W62" s="146" t="str">
        <f t="shared" si="3"/>
        <v/>
      </c>
      <c r="X62" s="84"/>
      <c r="Y62" s="84"/>
      <c r="Z62" s="84"/>
      <c r="AA62" s="84"/>
      <c r="AB62" s="84"/>
      <c r="AC62" s="84"/>
      <c r="AD62" s="84"/>
      <c r="AF62" s="84"/>
      <c r="AG62" s="84"/>
      <c r="AH62" s="84"/>
      <c r="AI62" s="84"/>
      <c r="AJ62" s="84"/>
      <c r="AK62" s="84"/>
      <c r="AL62" s="84"/>
      <c r="AM62" s="84"/>
      <c r="AN62" s="84"/>
      <c r="AO62" s="84"/>
      <c r="AP62" s="84"/>
      <c r="AQ62" s="84"/>
      <c r="AR62" s="84"/>
      <c r="AS62" s="84"/>
    </row>
    <row r="63" spans="1:45" s="104" customFormat="1" ht="12" customHeight="1" thickTop="1">
      <c r="A63" s="683">
        <v>6.1</v>
      </c>
      <c r="B63" s="268" t="s">
        <v>79</v>
      </c>
      <c r="C63" s="268" t="str">
        <f>IF(B63&lt;&gt;"",VLOOKUP($B63,Rates!$H$7:$I$23,2,FALSE),"")</f>
        <v>-</v>
      </c>
      <c r="D63" s="293"/>
      <c r="E63" s="270"/>
      <c r="F63" s="236"/>
      <c r="G63" s="237"/>
      <c r="H63" s="237"/>
      <c r="I63" s="237"/>
      <c r="J63" s="238"/>
      <c r="K63" s="239"/>
      <c r="L63" s="271">
        <f>IF(E63&lt;&gt;"",VLOOKUP(E63,'Travel Rates'!$A$12:$B$17,2,FALSE),0)</f>
        <v>0</v>
      </c>
      <c r="M63" s="272">
        <f t="shared" ref="M63:N67" si="13">M$15</f>
        <v>170</v>
      </c>
      <c r="N63" s="272">
        <f t="shared" si="13"/>
        <v>180</v>
      </c>
      <c r="O63" s="273">
        <f>$O$15</f>
        <v>66</v>
      </c>
      <c r="P63" s="660">
        <f>((G63*H63)*L63)</f>
        <v>0</v>
      </c>
      <c r="Q63" s="660">
        <f>((G63*I63)*J63)*M63</f>
        <v>0</v>
      </c>
      <c r="R63" s="661">
        <f>(K63*G63)*'Travel Rates'!$B$7</f>
        <v>0</v>
      </c>
      <c r="S63" s="661">
        <f>(G63*H63)*(I63-1)*N63</f>
        <v>0</v>
      </c>
      <c r="T63" s="662">
        <f>((G63*H63)*I63)*O63</f>
        <v>0</v>
      </c>
      <c r="U63" s="662">
        <f>SUM(P63:T63)</f>
        <v>0</v>
      </c>
      <c r="V63" s="179"/>
      <c r="W63" s="146" t="str">
        <f t="shared" si="3"/>
        <v>6.</v>
      </c>
      <c r="X63" s="84"/>
      <c r="Y63" s="84"/>
      <c r="Z63" s="84"/>
      <c r="AA63" s="84"/>
      <c r="AB63" s="84"/>
      <c r="AC63" s="84"/>
      <c r="AD63" s="84"/>
      <c r="AE63" s="62"/>
      <c r="AF63" s="84"/>
      <c r="AG63" s="84"/>
      <c r="AH63" s="84"/>
      <c r="AI63" s="84"/>
      <c r="AJ63" s="84"/>
      <c r="AK63" s="84"/>
      <c r="AL63" s="84"/>
      <c r="AM63" s="84"/>
      <c r="AN63" s="84"/>
      <c r="AO63" s="84"/>
      <c r="AP63" s="84"/>
      <c r="AQ63" s="84"/>
      <c r="AR63" s="84"/>
      <c r="AS63" s="84"/>
    </row>
    <row r="64" spans="1:45" s="104" customFormat="1" ht="12" customHeight="1">
      <c r="A64" s="683">
        <v>6.2</v>
      </c>
      <c r="B64" s="268" t="s">
        <v>79</v>
      </c>
      <c r="C64" s="268" t="str">
        <f>IF(B64&lt;&gt;"",VLOOKUP($B64,Rates!$H$7:$I$23,2,FALSE),"")</f>
        <v>-</v>
      </c>
      <c r="D64" s="293"/>
      <c r="E64" s="270"/>
      <c r="F64" s="240"/>
      <c r="G64" s="222"/>
      <c r="H64" s="222"/>
      <c r="I64" s="222"/>
      <c r="J64" s="223"/>
      <c r="K64" s="239"/>
      <c r="L64" s="271">
        <f>IF(E64&lt;&gt;"",VLOOKUP(E64,'Travel Rates'!$A$12:$B$17,2,FALSE),0)</f>
        <v>0</v>
      </c>
      <c r="M64" s="272">
        <f t="shared" si="13"/>
        <v>170</v>
      </c>
      <c r="N64" s="274">
        <f t="shared" si="13"/>
        <v>180</v>
      </c>
      <c r="O64" s="273">
        <f>$O$15</f>
        <v>66</v>
      </c>
      <c r="P64" s="660">
        <f>((G64*H64)*L64)</f>
        <v>0</v>
      </c>
      <c r="Q64" s="660">
        <f>((G64*I64)*J64)*M64</f>
        <v>0</v>
      </c>
      <c r="R64" s="661">
        <f>(K64*G64)*'Travel Rates'!$B$7</f>
        <v>0</v>
      </c>
      <c r="S64" s="661">
        <f>(G64*H64)*(I64-1)*N64</f>
        <v>0</v>
      </c>
      <c r="T64" s="662">
        <f>((G64*H64)*I64)*O64</f>
        <v>0</v>
      </c>
      <c r="U64" s="662">
        <f>SUM(P64:T64)</f>
        <v>0</v>
      </c>
      <c r="V64" s="179"/>
      <c r="W64" s="146" t="str">
        <f t="shared" si="3"/>
        <v>6.</v>
      </c>
      <c r="X64" s="84"/>
      <c r="Y64" s="84"/>
      <c r="Z64" s="84"/>
      <c r="AA64" s="84"/>
      <c r="AB64" s="84"/>
      <c r="AC64" s="84"/>
      <c r="AD64" s="84"/>
      <c r="AE64" s="62"/>
      <c r="AF64" s="84"/>
      <c r="AG64" s="84"/>
      <c r="AH64" s="84"/>
      <c r="AI64" s="84"/>
      <c r="AJ64" s="84"/>
      <c r="AK64" s="84"/>
      <c r="AL64" s="84"/>
      <c r="AM64" s="84"/>
      <c r="AN64" s="84"/>
      <c r="AO64" s="84"/>
      <c r="AP64" s="84"/>
      <c r="AQ64" s="84"/>
      <c r="AR64" s="84"/>
      <c r="AS64" s="84"/>
    </row>
    <row r="65" spans="1:45" s="104" customFormat="1" ht="12" customHeight="1">
      <c r="A65" s="683">
        <v>6.3</v>
      </c>
      <c r="B65" s="268" t="s">
        <v>79</v>
      </c>
      <c r="C65" s="268" t="str">
        <f>IF(B65&lt;&gt;"",VLOOKUP($B65,Rates!$H$7:$I$23,2,FALSE),"")</f>
        <v>-</v>
      </c>
      <c r="D65" s="293"/>
      <c r="E65" s="270"/>
      <c r="F65" s="240"/>
      <c r="G65" s="222"/>
      <c r="H65" s="222"/>
      <c r="I65" s="222"/>
      <c r="J65" s="223"/>
      <c r="K65" s="239"/>
      <c r="L65" s="271">
        <f>IF(E65&lt;&gt;"",VLOOKUP(E65,'Travel Rates'!$A$12:$B$17,2,FALSE),0)</f>
        <v>0</v>
      </c>
      <c r="M65" s="272">
        <f t="shared" si="13"/>
        <v>170</v>
      </c>
      <c r="N65" s="274">
        <f t="shared" si="13"/>
        <v>180</v>
      </c>
      <c r="O65" s="273">
        <f>$O$15</f>
        <v>66</v>
      </c>
      <c r="P65" s="660">
        <f>((G65*H65)*L65)</f>
        <v>0</v>
      </c>
      <c r="Q65" s="660">
        <f>((G65*I65)*J65)*M65</f>
        <v>0</v>
      </c>
      <c r="R65" s="661">
        <f>(K65*G65)*'Travel Rates'!$B$7</f>
        <v>0</v>
      </c>
      <c r="S65" s="661">
        <f>(G65*H65)*(I65-1)*N65</f>
        <v>0</v>
      </c>
      <c r="T65" s="662">
        <f>((G65*H65)*I65)*O65</f>
        <v>0</v>
      </c>
      <c r="U65" s="662">
        <f>SUM(P65:T65)</f>
        <v>0</v>
      </c>
      <c r="V65" s="179"/>
      <c r="W65" s="146" t="str">
        <f t="shared" si="3"/>
        <v>6.</v>
      </c>
      <c r="X65" s="84"/>
      <c r="Y65" s="84"/>
      <c r="Z65" s="84"/>
      <c r="AA65" s="84"/>
      <c r="AB65" s="84"/>
      <c r="AC65" s="84"/>
      <c r="AD65" s="84"/>
      <c r="AE65" s="62"/>
      <c r="AF65" s="84"/>
      <c r="AG65" s="84"/>
      <c r="AH65" s="84"/>
      <c r="AI65" s="84"/>
      <c r="AJ65" s="84"/>
      <c r="AK65" s="84"/>
      <c r="AL65" s="84"/>
      <c r="AM65" s="84"/>
      <c r="AN65" s="84"/>
      <c r="AO65" s="84"/>
      <c r="AP65" s="84"/>
      <c r="AQ65" s="84"/>
      <c r="AR65" s="84"/>
      <c r="AS65" s="84"/>
    </row>
    <row r="66" spans="1:45" s="104" customFormat="1" ht="12" customHeight="1">
      <c r="A66" s="683">
        <v>6.4</v>
      </c>
      <c r="B66" s="268" t="s">
        <v>79</v>
      </c>
      <c r="C66" s="268" t="str">
        <f>IF(B66&lt;&gt;"",VLOOKUP($B66,Rates!$H$7:$I$23,2,FALSE),"")</f>
        <v>-</v>
      </c>
      <c r="D66" s="293"/>
      <c r="E66" s="270"/>
      <c r="F66" s="240"/>
      <c r="G66" s="222"/>
      <c r="H66" s="222"/>
      <c r="I66" s="222"/>
      <c r="J66" s="223"/>
      <c r="K66" s="239"/>
      <c r="L66" s="271">
        <f>IF(E66&lt;&gt;"",VLOOKUP(E66,'Travel Rates'!$A$12:$B$17,2,FALSE),0)</f>
        <v>0</v>
      </c>
      <c r="M66" s="272">
        <f t="shared" si="13"/>
        <v>170</v>
      </c>
      <c r="N66" s="274">
        <f t="shared" si="13"/>
        <v>180</v>
      </c>
      <c r="O66" s="273">
        <f>$O$15</f>
        <v>66</v>
      </c>
      <c r="P66" s="660">
        <f>((G66*H66)*L66)</f>
        <v>0</v>
      </c>
      <c r="Q66" s="660">
        <f>((G66*I66)*J66)*M66</f>
        <v>0</v>
      </c>
      <c r="R66" s="661">
        <f>(K66*G66)*'Travel Rates'!$B$7</f>
        <v>0</v>
      </c>
      <c r="S66" s="661">
        <f>(G66*H66)*(I66-1)*N66</f>
        <v>0</v>
      </c>
      <c r="T66" s="662">
        <f>((G66*H66)*I66)*O66</f>
        <v>0</v>
      </c>
      <c r="U66" s="662">
        <f>SUM(P66:T66)</f>
        <v>0</v>
      </c>
      <c r="V66" s="179"/>
      <c r="W66" s="146" t="str">
        <f t="shared" si="3"/>
        <v>6.</v>
      </c>
      <c r="X66" s="84"/>
      <c r="Y66" s="84"/>
      <c r="Z66" s="84"/>
      <c r="AA66" s="84"/>
      <c r="AB66" s="84"/>
      <c r="AC66" s="84"/>
      <c r="AD66" s="84"/>
      <c r="AE66" s="62"/>
      <c r="AF66" s="84"/>
      <c r="AG66" s="84"/>
      <c r="AH66" s="84"/>
      <c r="AI66" s="84"/>
      <c r="AJ66" s="84"/>
      <c r="AK66" s="84"/>
      <c r="AL66" s="84"/>
      <c r="AM66" s="84"/>
      <c r="AN66" s="84"/>
      <c r="AO66" s="84"/>
      <c r="AP66" s="84"/>
      <c r="AQ66" s="84"/>
      <c r="AR66" s="84"/>
      <c r="AS66" s="84"/>
    </row>
    <row r="67" spans="1:45" s="104" customFormat="1" ht="12" customHeight="1">
      <c r="A67" s="683">
        <v>6.5</v>
      </c>
      <c r="B67" s="268" t="s">
        <v>79</v>
      </c>
      <c r="C67" s="268" t="str">
        <f>IF(B67&lt;&gt;"",VLOOKUP($B67,Rates!$H$7:$I$23,2,FALSE),"")</f>
        <v>-</v>
      </c>
      <c r="D67" s="293"/>
      <c r="E67" s="270"/>
      <c r="F67" s="240"/>
      <c r="G67" s="222"/>
      <c r="H67" s="222"/>
      <c r="I67" s="222"/>
      <c r="J67" s="223"/>
      <c r="K67" s="239"/>
      <c r="L67" s="271">
        <f>IF(E67&lt;&gt;"",VLOOKUP(E67,'Travel Rates'!$A$12:$B$17,2,FALSE),0)</f>
        <v>0</v>
      </c>
      <c r="M67" s="272">
        <f t="shared" si="13"/>
        <v>170</v>
      </c>
      <c r="N67" s="274">
        <f t="shared" si="13"/>
        <v>180</v>
      </c>
      <c r="O67" s="273">
        <f>$O$15</f>
        <v>66</v>
      </c>
      <c r="P67" s="660">
        <f>((G67*H67)*L67)</f>
        <v>0</v>
      </c>
      <c r="Q67" s="660">
        <f>((G67*I67)*J67)*M67</f>
        <v>0</v>
      </c>
      <c r="R67" s="661">
        <f>(K67*G67)*'Travel Rates'!$B$7</f>
        <v>0</v>
      </c>
      <c r="S67" s="661">
        <f>(G67*H67)*(I67-1)*N67</f>
        <v>0</v>
      </c>
      <c r="T67" s="662">
        <f>((G67*H67)*I67)*O67</f>
        <v>0</v>
      </c>
      <c r="U67" s="662">
        <f>SUM(P67:T67)</f>
        <v>0</v>
      </c>
      <c r="V67" s="179"/>
      <c r="W67" s="146" t="str">
        <f t="shared" si="3"/>
        <v>6.</v>
      </c>
      <c r="X67" s="84"/>
      <c r="Y67" s="84"/>
      <c r="Z67" s="84"/>
      <c r="AA67" s="84"/>
      <c r="AB67" s="84"/>
      <c r="AC67" s="84"/>
      <c r="AD67" s="84"/>
      <c r="AE67" s="62"/>
      <c r="AF67" s="84"/>
      <c r="AG67" s="84"/>
      <c r="AH67" s="84"/>
      <c r="AI67" s="84"/>
      <c r="AJ67" s="84"/>
      <c r="AK67" s="84"/>
      <c r="AL67" s="84"/>
      <c r="AM67" s="84"/>
      <c r="AN67" s="84"/>
      <c r="AO67" s="84"/>
      <c r="AP67" s="84"/>
      <c r="AQ67" s="84"/>
      <c r="AR67" s="84"/>
      <c r="AS67" s="84"/>
    </row>
    <row r="68" spans="1:45" s="104" customFormat="1" ht="12" customHeight="1">
      <c r="A68" s="344" t="str">
        <f>$A$28</f>
        <v>Total</v>
      </c>
      <c r="B68" s="278"/>
      <c r="C68" s="277"/>
      <c r="D68" s="298" t="str">
        <f>"Subtask No. "&amp;A62</f>
        <v>Subtask No. 6</v>
      </c>
      <c r="E68" s="280"/>
      <c r="F68" s="228"/>
      <c r="G68" s="229">
        <f>SUM(G63:G67)</f>
        <v>0</v>
      </c>
      <c r="H68" s="229">
        <f>SUM(H63:H67)</f>
        <v>0</v>
      </c>
      <c r="I68" s="229">
        <f>SUM(I63:I67)</f>
        <v>0</v>
      </c>
      <c r="J68" s="230">
        <f>SUM(J63:J67)</f>
        <v>0</v>
      </c>
      <c r="K68" s="231">
        <f>SUM(K63:K67)</f>
        <v>0</v>
      </c>
      <c r="L68" s="281" t="s">
        <v>0</v>
      </c>
      <c r="M68" s="282" t="s">
        <v>0</v>
      </c>
      <c r="N68" s="282" t="s">
        <v>0</v>
      </c>
      <c r="O68" s="283" t="s">
        <v>0</v>
      </c>
      <c r="P68" s="663">
        <f t="shared" ref="P68:U68" si="14">SUM(P63:P67)</f>
        <v>0</v>
      </c>
      <c r="Q68" s="663">
        <f t="shared" si="14"/>
        <v>0</v>
      </c>
      <c r="R68" s="663">
        <f t="shared" si="14"/>
        <v>0</v>
      </c>
      <c r="S68" s="663">
        <f t="shared" si="14"/>
        <v>0</v>
      </c>
      <c r="T68" s="664">
        <f t="shared" si="14"/>
        <v>0</v>
      </c>
      <c r="U68" s="664">
        <f t="shared" si="14"/>
        <v>0</v>
      </c>
      <c r="V68" s="179"/>
      <c r="W68" s="146" t="str">
        <f t="shared" si="3"/>
        <v/>
      </c>
      <c r="X68" s="84"/>
      <c r="Y68" s="84"/>
      <c r="Z68" s="84"/>
      <c r="AA68" s="84"/>
      <c r="AB68" s="84"/>
      <c r="AC68" s="84"/>
      <c r="AD68" s="84"/>
      <c r="AE68" s="62"/>
      <c r="AF68" s="84"/>
      <c r="AG68" s="84"/>
      <c r="AH68" s="84"/>
      <c r="AI68" s="84"/>
      <c r="AJ68" s="84"/>
      <c r="AK68" s="84"/>
      <c r="AL68" s="84"/>
      <c r="AM68" s="84"/>
      <c r="AN68" s="84"/>
      <c r="AO68" s="84"/>
      <c r="AP68" s="84"/>
      <c r="AQ68" s="84"/>
      <c r="AR68" s="84"/>
      <c r="AS68" s="84"/>
    </row>
    <row r="69" spans="1:45" s="104" customFormat="1" ht="12" customHeight="1" thickBot="1">
      <c r="A69" s="345"/>
      <c r="B69" s="284"/>
      <c r="C69" s="284"/>
      <c r="D69" s="285"/>
      <c r="E69" s="284"/>
      <c r="F69" s="232"/>
      <c r="G69" s="233"/>
      <c r="H69" s="233"/>
      <c r="I69" s="233"/>
      <c r="J69" s="233"/>
      <c r="K69" s="234"/>
      <c r="L69" s="286"/>
      <c r="M69" s="286"/>
      <c r="N69" s="286"/>
      <c r="O69" s="286"/>
      <c r="P69" s="286"/>
      <c r="Q69" s="286"/>
      <c r="R69" s="286"/>
      <c r="S69" s="286"/>
      <c r="T69" s="286"/>
      <c r="U69" s="286"/>
      <c r="V69" s="179"/>
      <c r="W69" s="146" t="str">
        <f t="shared" si="3"/>
        <v/>
      </c>
      <c r="X69" s="84"/>
      <c r="Y69" s="84"/>
      <c r="Z69" s="84"/>
      <c r="AA69" s="84"/>
      <c r="AB69" s="84"/>
      <c r="AC69" s="84"/>
      <c r="AD69" s="84"/>
      <c r="AE69" s="62"/>
      <c r="AF69" s="84"/>
      <c r="AG69" s="84"/>
      <c r="AH69" s="84"/>
      <c r="AI69" s="84"/>
      <c r="AJ69" s="84"/>
      <c r="AK69" s="84"/>
      <c r="AL69" s="84"/>
      <c r="AM69" s="84"/>
      <c r="AN69" s="84"/>
      <c r="AO69" s="84"/>
      <c r="AP69" s="84"/>
      <c r="AQ69" s="84"/>
      <c r="AR69" s="84"/>
      <c r="AS69" s="84"/>
    </row>
    <row r="70" spans="1:45" s="62" customFormat="1" ht="15" thickTop="1" thickBot="1">
      <c r="A70" s="346">
        <v>7</v>
      </c>
      <c r="B70" s="287" t="str">
        <f>VLOOKUP(D76,'Task Order Setup'!$A$6:$C$23,3,FALSE)</f>
        <v>.</v>
      </c>
      <c r="C70" s="288"/>
      <c r="D70" s="289"/>
      <c r="E70" s="290"/>
      <c r="F70" s="57"/>
      <c r="G70" s="57"/>
      <c r="H70" s="57"/>
      <c r="I70" s="57"/>
      <c r="J70" s="57"/>
      <c r="K70" s="57"/>
      <c r="L70" s="290"/>
      <c r="M70" s="290"/>
      <c r="N70" s="290"/>
      <c r="O70" s="290"/>
      <c r="P70" s="290"/>
      <c r="Q70" s="291"/>
      <c r="R70" s="292"/>
      <c r="S70" s="292"/>
      <c r="T70" s="292"/>
      <c r="U70" s="292"/>
      <c r="V70" s="179"/>
      <c r="W70" s="146" t="str">
        <f t="shared" si="3"/>
        <v/>
      </c>
      <c r="X70" s="84"/>
      <c r="Y70" s="84"/>
      <c r="Z70" s="84"/>
      <c r="AA70" s="84"/>
      <c r="AB70" s="84"/>
      <c r="AC70" s="84"/>
      <c r="AD70" s="84"/>
      <c r="AF70" s="84"/>
      <c r="AG70" s="84"/>
      <c r="AH70" s="84"/>
      <c r="AI70" s="84"/>
      <c r="AJ70" s="84"/>
      <c r="AK70" s="84"/>
      <c r="AL70" s="84"/>
      <c r="AM70" s="84"/>
      <c r="AN70" s="84"/>
      <c r="AO70" s="84"/>
      <c r="AP70" s="84"/>
      <c r="AQ70" s="84"/>
      <c r="AR70" s="84"/>
      <c r="AS70" s="84"/>
    </row>
    <row r="71" spans="1:45" s="104" customFormat="1" ht="12" customHeight="1" thickTop="1">
      <c r="A71" s="683">
        <v>7.1</v>
      </c>
      <c r="B71" s="268" t="s">
        <v>79</v>
      </c>
      <c r="C71" s="268" t="str">
        <f>IF(B71&lt;&gt;"",VLOOKUP($B71,Rates!$H$7:$I$23,2,FALSE),"")</f>
        <v>-</v>
      </c>
      <c r="D71" s="293"/>
      <c r="E71" s="270"/>
      <c r="F71" s="236"/>
      <c r="G71" s="237"/>
      <c r="H71" s="237"/>
      <c r="I71" s="237"/>
      <c r="J71" s="238"/>
      <c r="K71" s="239"/>
      <c r="L71" s="271">
        <f>IF(E71&lt;&gt;"",VLOOKUP(E71,'Travel Rates'!$A$12:$B$17,2,FALSE),0)</f>
        <v>0</v>
      </c>
      <c r="M71" s="272">
        <f t="shared" ref="M71:N75" si="15">M$15</f>
        <v>170</v>
      </c>
      <c r="N71" s="272">
        <f t="shared" si="15"/>
        <v>180</v>
      </c>
      <c r="O71" s="273">
        <f>$O$15</f>
        <v>66</v>
      </c>
      <c r="P71" s="660">
        <f>((G71*H71)*L71)</f>
        <v>0</v>
      </c>
      <c r="Q71" s="660">
        <f>((G71*I71)*J71)*M71</f>
        <v>0</v>
      </c>
      <c r="R71" s="661">
        <f>(K71*G71)*'Travel Rates'!$B$7</f>
        <v>0</v>
      </c>
      <c r="S71" s="661">
        <f>(G71*H71)*(I71-1)*N71</f>
        <v>0</v>
      </c>
      <c r="T71" s="662">
        <f>((G71*H71)*I71)*O71</f>
        <v>0</v>
      </c>
      <c r="U71" s="662">
        <f>SUM(P71:T71)</f>
        <v>0</v>
      </c>
      <c r="V71" s="179"/>
      <c r="W71" s="146" t="str">
        <f t="shared" si="3"/>
        <v>7.</v>
      </c>
      <c r="X71" s="84"/>
      <c r="Y71" s="84"/>
      <c r="Z71" s="84"/>
      <c r="AA71" s="84"/>
      <c r="AB71" s="84"/>
      <c r="AC71" s="84"/>
      <c r="AD71" s="84"/>
      <c r="AE71" s="62"/>
      <c r="AF71" s="84"/>
      <c r="AG71" s="84"/>
      <c r="AH71" s="84"/>
      <c r="AI71" s="84"/>
      <c r="AJ71" s="84"/>
      <c r="AK71" s="84"/>
      <c r="AL71" s="84"/>
      <c r="AM71" s="84"/>
      <c r="AN71" s="84"/>
      <c r="AO71" s="84"/>
      <c r="AP71" s="84"/>
      <c r="AQ71" s="84"/>
      <c r="AR71" s="84"/>
      <c r="AS71" s="84"/>
    </row>
    <row r="72" spans="1:45" s="104" customFormat="1" ht="12" customHeight="1">
      <c r="A72" s="683">
        <v>7.2</v>
      </c>
      <c r="B72" s="268" t="s">
        <v>79</v>
      </c>
      <c r="C72" s="268" t="str">
        <f>IF(B72&lt;&gt;"",VLOOKUP($B72,Rates!$H$7:$I$23,2,FALSE),"")</f>
        <v>-</v>
      </c>
      <c r="D72" s="293"/>
      <c r="E72" s="270"/>
      <c r="F72" s="240"/>
      <c r="G72" s="222"/>
      <c r="H72" s="222"/>
      <c r="I72" s="222"/>
      <c r="J72" s="223"/>
      <c r="K72" s="239"/>
      <c r="L72" s="271">
        <f>IF(E72&lt;&gt;"",VLOOKUP(E72,'Travel Rates'!$A$12:$B$17,2,FALSE),0)</f>
        <v>0</v>
      </c>
      <c r="M72" s="272">
        <f t="shared" si="15"/>
        <v>170</v>
      </c>
      <c r="N72" s="274">
        <f t="shared" si="15"/>
        <v>180</v>
      </c>
      <c r="O72" s="273">
        <f>$O$15</f>
        <v>66</v>
      </c>
      <c r="P72" s="660">
        <f>((G72*H72)*L72)</f>
        <v>0</v>
      </c>
      <c r="Q72" s="660">
        <f>((G72*I72)*J72)*M72</f>
        <v>0</v>
      </c>
      <c r="R72" s="661">
        <f>(K72*G72)*'Travel Rates'!$B$7</f>
        <v>0</v>
      </c>
      <c r="S72" s="661">
        <f>(G72*H72)*(I72-1)*N72</f>
        <v>0</v>
      </c>
      <c r="T72" s="662">
        <f>((G72*H72)*I72)*O72</f>
        <v>0</v>
      </c>
      <c r="U72" s="662">
        <f>SUM(P72:T72)</f>
        <v>0</v>
      </c>
      <c r="V72" s="179"/>
      <c r="W72" s="146" t="str">
        <f t="shared" si="3"/>
        <v>7.</v>
      </c>
      <c r="X72" s="84"/>
      <c r="Y72" s="84"/>
      <c r="Z72" s="84"/>
      <c r="AA72" s="84"/>
      <c r="AB72" s="84"/>
      <c r="AC72" s="84"/>
      <c r="AD72" s="84"/>
      <c r="AE72" s="62"/>
      <c r="AF72" s="84"/>
      <c r="AG72" s="84"/>
      <c r="AH72" s="84"/>
      <c r="AI72" s="84"/>
      <c r="AJ72" s="84"/>
      <c r="AK72" s="84"/>
      <c r="AL72" s="84"/>
      <c r="AM72" s="84"/>
      <c r="AN72" s="84"/>
      <c r="AO72" s="84"/>
      <c r="AP72" s="84"/>
      <c r="AQ72" s="84"/>
      <c r="AR72" s="84"/>
      <c r="AS72" s="84"/>
    </row>
    <row r="73" spans="1:45" s="104" customFormat="1" ht="12" customHeight="1">
      <c r="A73" s="683">
        <v>7.3</v>
      </c>
      <c r="B73" s="268" t="s">
        <v>79</v>
      </c>
      <c r="C73" s="268" t="str">
        <f>IF(B73&lt;&gt;"",VLOOKUP($B73,Rates!$H$7:$I$23,2,FALSE),"")</f>
        <v>-</v>
      </c>
      <c r="D73" s="293"/>
      <c r="E73" s="270"/>
      <c r="F73" s="240"/>
      <c r="G73" s="222"/>
      <c r="H73" s="222"/>
      <c r="I73" s="222"/>
      <c r="J73" s="223"/>
      <c r="K73" s="239"/>
      <c r="L73" s="271">
        <f>IF(E73&lt;&gt;"",VLOOKUP(E73,'Travel Rates'!$A$12:$B$17,2,FALSE),0)</f>
        <v>0</v>
      </c>
      <c r="M73" s="272">
        <f t="shared" si="15"/>
        <v>170</v>
      </c>
      <c r="N73" s="274">
        <f t="shared" si="15"/>
        <v>180</v>
      </c>
      <c r="O73" s="273">
        <f>$O$15</f>
        <v>66</v>
      </c>
      <c r="P73" s="660">
        <f>((G73*H73)*L73)</f>
        <v>0</v>
      </c>
      <c r="Q73" s="660">
        <f>((G73*I73)*J73)*M73</f>
        <v>0</v>
      </c>
      <c r="R73" s="661">
        <f>(K73*G73)*'Travel Rates'!$B$7</f>
        <v>0</v>
      </c>
      <c r="S73" s="661">
        <f>(G73*H73)*(I73-1)*N73</f>
        <v>0</v>
      </c>
      <c r="T73" s="662">
        <f>((G73*H73)*I73)*O73</f>
        <v>0</v>
      </c>
      <c r="U73" s="662">
        <f>SUM(P73:T73)</f>
        <v>0</v>
      </c>
      <c r="V73" s="179"/>
      <c r="W73" s="146" t="str">
        <f t="shared" si="3"/>
        <v>7.</v>
      </c>
      <c r="X73" s="84"/>
      <c r="Y73" s="84"/>
      <c r="Z73" s="84"/>
      <c r="AA73" s="84"/>
      <c r="AB73" s="84"/>
      <c r="AC73" s="84"/>
      <c r="AD73" s="84"/>
      <c r="AE73" s="62"/>
      <c r="AF73" s="84"/>
      <c r="AG73" s="84"/>
      <c r="AH73" s="84"/>
      <c r="AI73" s="84"/>
      <c r="AJ73" s="84"/>
      <c r="AK73" s="84"/>
      <c r="AL73" s="84"/>
      <c r="AM73" s="84"/>
      <c r="AN73" s="84"/>
      <c r="AO73" s="84"/>
      <c r="AP73" s="84"/>
      <c r="AQ73" s="84"/>
      <c r="AR73" s="84"/>
      <c r="AS73" s="84"/>
    </row>
    <row r="74" spans="1:45" s="104" customFormat="1" ht="12" customHeight="1">
      <c r="A74" s="683">
        <v>7.4</v>
      </c>
      <c r="B74" s="268" t="s">
        <v>79</v>
      </c>
      <c r="C74" s="268" t="str">
        <f>IF(B74&lt;&gt;"",VLOOKUP($B74,Rates!$H$7:$I$23,2,FALSE),"")</f>
        <v>-</v>
      </c>
      <c r="D74" s="293"/>
      <c r="E74" s="270"/>
      <c r="F74" s="240"/>
      <c r="G74" s="222"/>
      <c r="H74" s="222"/>
      <c r="I74" s="222"/>
      <c r="J74" s="223"/>
      <c r="K74" s="239"/>
      <c r="L74" s="271">
        <f>IF(E74&lt;&gt;"",VLOOKUP(E74,'Travel Rates'!$A$12:$B$17,2,FALSE),0)</f>
        <v>0</v>
      </c>
      <c r="M74" s="272">
        <f t="shared" si="15"/>
        <v>170</v>
      </c>
      <c r="N74" s="274">
        <f t="shared" si="15"/>
        <v>180</v>
      </c>
      <c r="O74" s="273">
        <f>$O$15</f>
        <v>66</v>
      </c>
      <c r="P74" s="660">
        <f>((G74*H74)*L74)</f>
        <v>0</v>
      </c>
      <c r="Q74" s="660">
        <f>((G74*I74)*J74)*M74</f>
        <v>0</v>
      </c>
      <c r="R74" s="661">
        <f>(K74*G74)*'Travel Rates'!$B$7</f>
        <v>0</v>
      </c>
      <c r="S74" s="661">
        <f>(G74*H74)*(I74-1)*N74</f>
        <v>0</v>
      </c>
      <c r="T74" s="662">
        <f>((G74*H74)*I74)*O74</f>
        <v>0</v>
      </c>
      <c r="U74" s="662">
        <f>SUM(P74:T74)</f>
        <v>0</v>
      </c>
      <c r="V74" s="179"/>
      <c r="W74" s="146" t="str">
        <f t="shared" si="3"/>
        <v>7.</v>
      </c>
      <c r="X74" s="84"/>
      <c r="Y74" s="84"/>
      <c r="Z74" s="84"/>
      <c r="AA74" s="84"/>
      <c r="AB74" s="84"/>
      <c r="AC74" s="84"/>
      <c r="AD74" s="84"/>
      <c r="AE74" s="62"/>
      <c r="AF74" s="84"/>
      <c r="AG74" s="84"/>
      <c r="AH74" s="84"/>
      <c r="AI74" s="84"/>
      <c r="AJ74" s="84"/>
      <c r="AK74" s="84"/>
      <c r="AL74" s="84"/>
      <c r="AM74" s="84"/>
      <c r="AN74" s="84"/>
      <c r="AO74" s="84"/>
      <c r="AP74" s="84"/>
      <c r="AQ74" s="84"/>
      <c r="AR74" s="84"/>
      <c r="AS74" s="84"/>
    </row>
    <row r="75" spans="1:45" s="104" customFormat="1" ht="12" customHeight="1">
      <c r="A75" s="683">
        <v>7.5</v>
      </c>
      <c r="B75" s="268" t="s">
        <v>79</v>
      </c>
      <c r="C75" s="268" t="str">
        <f>IF(B75&lt;&gt;"",VLOOKUP($B75,Rates!$H$7:$I$23,2,FALSE),"")</f>
        <v>-</v>
      </c>
      <c r="D75" s="293"/>
      <c r="E75" s="270"/>
      <c r="F75" s="240"/>
      <c r="G75" s="222"/>
      <c r="H75" s="222"/>
      <c r="I75" s="222"/>
      <c r="J75" s="223"/>
      <c r="K75" s="239"/>
      <c r="L75" s="271">
        <f>IF(E75&lt;&gt;"",VLOOKUP(E75,'Travel Rates'!$A$12:$B$17,2,FALSE),0)</f>
        <v>0</v>
      </c>
      <c r="M75" s="272">
        <f t="shared" si="15"/>
        <v>170</v>
      </c>
      <c r="N75" s="274">
        <f t="shared" si="15"/>
        <v>180</v>
      </c>
      <c r="O75" s="273">
        <f>$O$15</f>
        <v>66</v>
      </c>
      <c r="P75" s="660">
        <f>((G75*H75)*L75)</f>
        <v>0</v>
      </c>
      <c r="Q75" s="660">
        <f>((G75*I75)*J75)*M75</f>
        <v>0</v>
      </c>
      <c r="R75" s="661">
        <f>(K75*G75)*'Travel Rates'!$B$7</f>
        <v>0</v>
      </c>
      <c r="S75" s="661">
        <f>(G75*H75)*(I75-1)*N75</f>
        <v>0</v>
      </c>
      <c r="T75" s="662">
        <f>((G75*H75)*I75)*O75</f>
        <v>0</v>
      </c>
      <c r="U75" s="662">
        <f>SUM(P75:T75)</f>
        <v>0</v>
      </c>
      <c r="V75" s="179"/>
      <c r="W75" s="146" t="str">
        <f t="shared" si="3"/>
        <v>7.</v>
      </c>
      <c r="X75" s="84"/>
      <c r="Y75" s="84"/>
      <c r="Z75" s="84"/>
      <c r="AA75" s="84"/>
      <c r="AB75" s="84"/>
      <c r="AC75" s="84"/>
      <c r="AD75" s="84"/>
      <c r="AE75" s="62"/>
      <c r="AF75" s="84"/>
      <c r="AG75" s="84"/>
      <c r="AH75" s="84"/>
      <c r="AI75" s="84"/>
      <c r="AJ75" s="84"/>
      <c r="AK75" s="84"/>
      <c r="AL75" s="84"/>
      <c r="AM75" s="84"/>
      <c r="AN75" s="84"/>
      <c r="AO75" s="84"/>
      <c r="AP75" s="84"/>
      <c r="AQ75" s="84"/>
      <c r="AR75" s="84"/>
      <c r="AS75" s="84"/>
    </row>
    <row r="76" spans="1:45" s="104" customFormat="1" ht="12" customHeight="1">
      <c r="A76" s="344" t="str">
        <f>$A$28</f>
        <v>Total</v>
      </c>
      <c r="B76" s="278"/>
      <c r="C76" s="277"/>
      <c r="D76" s="298" t="str">
        <f>"Subtask No. "&amp;A70</f>
        <v>Subtask No. 7</v>
      </c>
      <c r="E76" s="280"/>
      <c r="F76" s="228"/>
      <c r="G76" s="229">
        <f>SUM(G71:G75)</f>
        <v>0</v>
      </c>
      <c r="H76" s="229">
        <f>SUM(H71:H75)</f>
        <v>0</v>
      </c>
      <c r="I76" s="229">
        <f>SUM(I71:I75)</f>
        <v>0</v>
      </c>
      <c r="J76" s="230">
        <f>SUM(J71:J75)</f>
        <v>0</v>
      </c>
      <c r="K76" s="231">
        <f>SUM(K71:K75)</f>
        <v>0</v>
      </c>
      <c r="L76" s="281" t="s">
        <v>0</v>
      </c>
      <c r="M76" s="282" t="s">
        <v>0</v>
      </c>
      <c r="N76" s="282" t="s">
        <v>0</v>
      </c>
      <c r="O76" s="283" t="s">
        <v>0</v>
      </c>
      <c r="P76" s="663">
        <f t="shared" ref="P76:U76" si="16">SUM(P71:P75)</f>
        <v>0</v>
      </c>
      <c r="Q76" s="663">
        <f t="shared" si="16"/>
        <v>0</v>
      </c>
      <c r="R76" s="663">
        <f t="shared" si="16"/>
        <v>0</v>
      </c>
      <c r="S76" s="663">
        <f t="shared" si="16"/>
        <v>0</v>
      </c>
      <c r="T76" s="664">
        <f t="shared" si="16"/>
        <v>0</v>
      </c>
      <c r="U76" s="664">
        <f t="shared" si="16"/>
        <v>0</v>
      </c>
      <c r="V76" s="179"/>
      <c r="W76" s="146" t="str">
        <f>IFERROR(LEFT($A76,FIND(".",$A76)),"")</f>
        <v/>
      </c>
      <c r="X76" s="84"/>
      <c r="Y76" s="84"/>
      <c r="Z76" s="84"/>
      <c r="AA76" s="84"/>
      <c r="AB76" s="84"/>
      <c r="AC76" s="84"/>
      <c r="AD76" s="84"/>
      <c r="AE76" s="62"/>
      <c r="AF76" s="84"/>
      <c r="AG76" s="84"/>
      <c r="AH76" s="84"/>
      <c r="AI76" s="84"/>
      <c r="AJ76" s="84"/>
      <c r="AK76" s="84"/>
      <c r="AL76" s="84"/>
      <c r="AM76" s="84"/>
      <c r="AN76" s="84"/>
      <c r="AO76" s="84"/>
      <c r="AP76" s="84"/>
      <c r="AQ76" s="84"/>
      <c r="AR76" s="84"/>
      <c r="AS76" s="84"/>
    </row>
    <row r="77" spans="1:45" s="104" customFormat="1" ht="12" customHeight="1" thickBot="1">
      <c r="A77" s="345"/>
      <c r="B77" s="284"/>
      <c r="C77" s="284"/>
      <c r="D77" s="285"/>
      <c r="E77" s="284"/>
      <c r="F77" s="232"/>
      <c r="G77" s="233"/>
      <c r="H77" s="233"/>
      <c r="I77" s="233"/>
      <c r="J77" s="233"/>
      <c r="K77" s="234"/>
      <c r="L77" s="286"/>
      <c r="M77" s="286"/>
      <c r="N77" s="286"/>
      <c r="O77" s="286"/>
      <c r="P77" s="286"/>
      <c r="Q77" s="286"/>
      <c r="R77" s="286"/>
      <c r="S77" s="286"/>
      <c r="T77" s="286"/>
      <c r="U77" s="286"/>
      <c r="V77" s="179"/>
      <c r="W77" s="146" t="str">
        <f t="shared" si="3"/>
        <v/>
      </c>
      <c r="X77" s="84"/>
      <c r="Y77" s="84"/>
      <c r="Z77" s="84"/>
      <c r="AA77" s="84"/>
      <c r="AB77" s="84"/>
      <c r="AC77" s="84"/>
      <c r="AD77" s="84"/>
      <c r="AE77" s="62"/>
      <c r="AF77" s="84"/>
      <c r="AG77" s="84"/>
      <c r="AH77" s="84"/>
      <c r="AI77" s="84"/>
      <c r="AJ77" s="84"/>
      <c r="AK77" s="84"/>
      <c r="AL77" s="84"/>
      <c r="AM77" s="84"/>
      <c r="AN77" s="84"/>
      <c r="AO77" s="84"/>
      <c r="AP77" s="84"/>
      <c r="AQ77" s="84"/>
      <c r="AR77" s="84"/>
      <c r="AS77" s="84"/>
    </row>
    <row r="78" spans="1:45" s="62" customFormat="1" ht="15" thickTop="1" thickBot="1">
      <c r="A78" s="346">
        <v>8</v>
      </c>
      <c r="B78" s="287" t="str">
        <f>VLOOKUP(D84,'Task Order Setup'!$A$6:$C$23,3,FALSE)</f>
        <v>.</v>
      </c>
      <c r="C78" s="288"/>
      <c r="D78" s="289"/>
      <c r="E78" s="290"/>
      <c r="F78" s="57"/>
      <c r="G78" s="57"/>
      <c r="H78" s="57"/>
      <c r="I78" s="57"/>
      <c r="J78" s="57"/>
      <c r="K78" s="57"/>
      <c r="L78" s="290"/>
      <c r="M78" s="290"/>
      <c r="N78" s="290"/>
      <c r="O78" s="290"/>
      <c r="P78" s="290"/>
      <c r="Q78" s="291"/>
      <c r="R78" s="292"/>
      <c r="S78" s="292"/>
      <c r="T78" s="292"/>
      <c r="U78" s="292"/>
      <c r="V78" s="179"/>
      <c r="W78" s="146" t="str">
        <f t="shared" si="3"/>
        <v/>
      </c>
      <c r="X78" s="84"/>
      <c r="Y78" s="84"/>
      <c r="Z78" s="84"/>
      <c r="AA78" s="84"/>
      <c r="AB78" s="84"/>
      <c r="AC78" s="84"/>
      <c r="AD78" s="84"/>
      <c r="AF78" s="84"/>
      <c r="AG78" s="84"/>
      <c r="AH78" s="84"/>
      <c r="AI78" s="84"/>
      <c r="AJ78" s="84"/>
      <c r="AK78" s="84"/>
      <c r="AL78" s="84"/>
      <c r="AM78" s="84"/>
      <c r="AN78" s="84"/>
      <c r="AO78" s="84"/>
      <c r="AP78" s="84"/>
      <c r="AQ78" s="84"/>
      <c r="AR78" s="84"/>
      <c r="AS78" s="84"/>
    </row>
    <row r="79" spans="1:45" s="104" customFormat="1" ht="12" customHeight="1" thickTop="1">
      <c r="A79" s="684">
        <v>8.1</v>
      </c>
      <c r="B79" s="268" t="s">
        <v>79</v>
      </c>
      <c r="C79" s="268" t="str">
        <f>IF(B79&lt;&gt;"",VLOOKUP($B79,Rates!$H$7:$I$23,2,FALSE),"")</f>
        <v>-</v>
      </c>
      <c r="D79" s="293"/>
      <c r="E79" s="270"/>
      <c r="F79" s="236"/>
      <c r="G79" s="237"/>
      <c r="H79" s="237"/>
      <c r="I79" s="237"/>
      <c r="J79" s="238"/>
      <c r="K79" s="239"/>
      <c r="L79" s="271">
        <f>IF(E79&lt;&gt;"",VLOOKUP(E79,'Travel Rates'!$A$12:$B$17,2,FALSE),0)</f>
        <v>0</v>
      </c>
      <c r="M79" s="272">
        <f t="shared" ref="M79:N83" si="17">M$15</f>
        <v>170</v>
      </c>
      <c r="N79" s="272">
        <f t="shared" si="17"/>
        <v>180</v>
      </c>
      <c r="O79" s="273">
        <f>$O$15</f>
        <v>66</v>
      </c>
      <c r="P79" s="660">
        <f>((G79*H79)*L79)</f>
        <v>0</v>
      </c>
      <c r="Q79" s="660">
        <f>((G79*I79)*J79)*M79</f>
        <v>0</v>
      </c>
      <c r="R79" s="661">
        <f>(K79*G79)*'Travel Rates'!$B$7</f>
        <v>0</v>
      </c>
      <c r="S79" s="661">
        <f>(G79*H79)*(I79-1)*N79</f>
        <v>0</v>
      </c>
      <c r="T79" s="662">
        <f>((G79*H79)*I79)*O79</f>
        <v>0</v>
      </c>
      <c r="U79" s="662">
        <f>SUM(P79:T79)</f>
        <v>0</v>
      </c>
      <c r="V79" s="179"/>
      <c r="W79" s="146" t="str">
        <f t="shared" si="3"/>
        <v>8.</v>
      </c>
      <c r="X79" s="84"/>
      <c r="Y79" s="84"/>
      <c r="Z79" s="84"/>
      <c r="AA79" s="84"/>
      <c r="AB79" s="84"/>
      <c r="AC79" s="84"/>
      <c r="AD79" s="84"/>
      <c r="AE79" s="62"/>
      <c r="AF79" s="84"/>
      <c r="AG79" s="84"/>
      <c r="AH79" s="84"/>
      <c r="AI79" s="84"/>
      <c r="AJ79" s="84"/>
      <c r="AK79" s="84"/>
      <c r="AL79" s="84"/>
      <c r="AM79" s="84"/>
      <c r="AN79" s="84"/>
      <c r="AO79" s="84"/>
      <c r="AP79" s="84"/>
      <c r="AQ79" s="84"/>
      <c r="AR79" s="84"/>
      <c r="AS79" s="84"/>
    </row>
    <row r="80" spans="1:45" s="104" customFormat="1" ht="12" customHeight="1">
      <c r="A80" s="684">
        <v>8.1999999999999993</v>
      </c>
      <c r="B80" s="268" t="s">
        <v>79</v>
      </c>
      <c r="C80" s="268" t="str">
        <f>IF(B80&lt;&gt;"",VLOOKUP($B80,Rates!$H$7:$I$23,2,FALSE),"")</f>
        <v>-</v>
      </c>
      <c r="D80" s="293"/>
      <c r="E80" s="270"/>
      <c r="F80" s="240"/>
      <c r="G80" s="222"/>
      <c r="H80" s="222"/>
      <c r="I80" s="222"/>
      <c r="J80" s="223"/>
      <c r="K80" s="239"/>
      <c r="L80" s="271">
        <f>IF(E80&lt;&gt;"",VLOOKUP(E80,'Travel Rates'!$A$12:$B$17,2,FALSE),0)</f>
        <v>0</v>
      </c>
      <c r="M80" s="272">
        <f t="shared" si="17"/>
        <v>170</v>
      </c>
      <c r="N80" s="274">
        <f t="shared" si="17"/>
        <v>180</v>
      </c>
      <c r="O80" s="273">
        <f>$O$15</f>
        <v>66</v>
      </c>
      <c r="P80" s="660">
        <f>((G80*H80)*L80)</f>
        <v>0</v>
      </c>
      <c r="Q80" s="660">
        <f>((G80*I80)*J80)*M80</f>
        <v>0</v>
      </c>
      <c r="R80" s="661">
        <f>(K80*G80)*'Travel Rates'!$B$7</f>
        <v>0</v>
      </c>
      <c r="S80" s="661">
        <f>(G80*H80)*(I80-1)*N80</f>
        <v>0</v>
      </c>
      <c r="T80" s="662">
        <f>((G80*H80)*I80)*O80</f>
        <v>0</v>
      </c>
      <c r="U80" s="662">
        <f>SUM(P80:T80)</f>
        <v>0</v>
      </c>
      <c r="V80" s="179"/>
      <c r="W80" s="146" t="str">
        <f t="shared" si="3"/>
        <v>8.</v>
      </c>
      <c r="X80" s="84"/>
      <c r="Y80" s="84"/>
      <c r="Z80" s="84"/>
      <c r="AA80" s="84"/>
      <c r="AB80" s="84"/>
      <c r="AC80" s="84"/>
      <c r="AD80" s="84"/>
      <c r="AE80" s="62"/>
      <c r="AF80" s="84"/>
      <c r="AG80" s="84"/>
      <c r="AH80" s="84"/>
      <c r="AI80" s="84"/>
      <c r="AJ80" s="84"/>
      <c r="AK80" s="84"/>
      <c r="AL80" s="84"/>
      <c r="AM80" s="84"/>
      <c r="AN80" s="84"/>
      <c r="AO80" s="84"/>
      <c r="AP80" s="84"/>
      <c r="AQ80" s="84"/>
      <c r="AR80" s="84"/>
      <c r="AS80" s="84"/>
    </row>
    <row r="81" spans="1:45" s="104" customFormat="1" ht="12" customHeight="1">
      <c r="A81" s="684">
        <v>8.3000000000000007</v>
      </c>
      <c r="B81" s="268" t="s">
        <v>79</v>
      </c>
      <c r="C81" s="268" t="str">
        <f>IF(B81&lt;&gt;"",VLOOKUP($B81,Rates!$H$7:$I$23,2,FALSE),"")</f>
        <v>-</v>
      </c>
      <c r="D81" s="293"/>
      <c r="E81" s="270"/>
      <c r="F81" s="240"/>
      <c r="G81" s="222"/>
      <c r="H81" s="222"/>
      <c r="I81" s="222"/>
      <c r="J81" s="223"/>
      <c r="K81" s="239"/>
      <c r="L81" s="271">
        <f>IF(E81&lt;&gt;"",VLOOKUP(E81,'Travel Rates'!$A$12:$B$17,2,FALSE),0)</f>
        <v>0</v>
      </c>
      <c r="M81" s="272">
        <f t="shared" si="17"/>
        <v>170</v>
      </c>
      <c r="N81" s="274">
        <f t="shared" si="17"/>
        <v>180</v>
      </c>
      <c r="O81" s="273">
        <f>$O$15</f>
        <v>66</v>
      </c>
      <c r="P81" s="660">
        <f>((G81*H81)*L81)</f>
        <v>0</v>
      </c>
      <c r="Q81" s="660">
        <f>((G81*I81)*J81)*M81</f>
        <v>0</v>
      </c>
      <c r="R81" s="661">
        <f>(K81*G81)*'Travel Rates'!$B$7</f>
        <v>0</v>
      </c>
      <c r="S81" s="661">
        <f>(G81*H81)*(I81-1)*N81</f>
        <v>0</v>
      </c>
      <c r="T81" s="662">
        <f>((G81*H81)*I81)*O81</f>
        <v>0</v>
      </c>
      <c r="U81" s="662">
        <f>SUM(P81:T81)</f>
        <v>0</v>
      </c>
      <c r="V81" s="179"/>
      <c r="W81" s="146" t="str">
        <f t="shared" si="3"/>
        <v>8.</v>
      </c>
      <c r="X81" s="84"/>
      <c r="Y81" s="84"/>
      <c r="Z81" s="84"/>
      <c r="AA81" s="84"/>
      <c r="AB81" s="84"/>
      <c r="AC81" s="84"/>
      <c r="AD81" s="84"/>
      <c r="AE81" s="62"/>
      <c r="AF81" s="84"/>
      <c r="AG81" s="84"/>
      <c r="AH81" s="84"/>
      <c r="AI81" s="84"/>
      <c r="AJ81" s="84"/>
      <c r="AK81" s="84"/>
      <c r="AL81" s="84"/>
      <c r="AM81" s="84"/>
      <c r="AN81" s="84"/>
      <c r="AO81" s="84"/>
      <c r="AP81" s="84"/>
      <c r="AQ81" s="84"/>
      <c r="AR81" s="84"/>
      <c r="AS81" s="84"/>
    </row>
    <row r="82" spans="1:45" s="104" customFormat="1" ht="12" customHeight="1">
      <c r="A82" s="684">
        <v>8.4</v>
      </c>
      <c r="B82" s="268" t="s">
        <v>79</v>
      </c>
      <c r="C82" s="268" t="str">
        <f>IF(B82&lt;&gt;"",VLOOKUP($B82,Rates!$H$7:$I$23,2,FALSE),"")</f>
        <v>-</v>
      </c>
      <c r="D82" s="293"/>
      <c r="E82" s="270"/>
      <c r="F82" s="240"/>
      <c r="G82" s="222"/>
      <c r="H82" s="222"/>
      <c r="I82" s="222"/>
      <c r="J82" s="223"/>
      <c r="K82" s="239"/>
      <c r="L82" s="271">
        <f>IF(E82&lt;&gt;"",VLOOKUP(E82,'Travel Rates'!$A$12:$B$17,2,FALSE),0)</f>
        <v>0</v>
      </c>
      <c r="M82" s="272">
        <f t="shared" si="17"/>
        <v>170</v>
      </c>
      <c r="N82" s="274">
        <f t="shared" si="17"/>
        <v>180</v>
      </c>
      <c r="O82" s="273">
        <f>$O$15</f>
        <v>66</v>
      </c>
      <c r="P82" s="660">
        <f>((G82*H82)*L82)</f>
        <v>0</v>
      </c>
      <c r="Q82" s="660">
        <f>((G82*I82)*J82)*M82</f>
        <v>0</v>
      </c>
      <c r="R82" s="661">
        <f>(K82*G82)*'Travel Rates'!$B$7</f>
        <v>0</v>
      </c>
      <c r="S82" s="661">
        <f>(G82*H82)*(I82-1)*N82</f>
        <v>0</v>
      </c>
      <c r="T82" s="662">
        <f>((G82*H82)*I82)*O82</f>
        <v>0</v>
      </c>
      <c r="U82" s="662">
        <f>SUM(P82:T82)</f>
        <v>0</v>
      </c>
      <c r="V82" s="179"/>
      <c r="W82" s="146" t="str">
        <f t="shared" si="3"/>
        <v>8.</v>
      </c>
      <c r="X82" s="84"/>
      <c r="Y82" s="84"/>
      <c r="Z82" s="84"/>
      <c r="AA82" s="84"/>
      <c r="AB82" s="84"/>
      <c r="AC82" s="84"/>
      <c r="AD82" s="84"/>
      <c r="AE82" s="62"/>
      <c r="AF82" s="84"/>
      <c r="AG82" s="84"/>
      <c r="AH82" s="84"/>
      <c r="AI82" s="84"/>
      <c r="AJ82" s="84"/>
      <c r="AK82" s="84"/>
      <c r="AL82" s="84"/>
      <c r="AM82" s="84"/>
      <c r="AN82" s="84"/>
      <c r="AO82" s="84"/>
      <c r="AP82" s="84"/>
      <c r="AQ82" s="84"/>
      <c r="AR82" s="84"/>
      <c r="AS82" s="84"/>
    </row>
    <row r="83" spans="1:45" s="104" customFormat="1" ht="12" customHeight="1">
      <c r="A83" s="684">
        <v>8.5</v>
      </c>
      <c r="B83" s="268" t="s">
        <v>79</v>
      </c>
      <c r="C83" s="268" t="str">
        <f>IF(B83&lt;&gt;"",VLOOKUP($B83,Rates!$H$7:$I$23,2,FALSE),"")</f>
        <v>-</v>
      </c>
      <c r="D83" s="293"/>
      <c r="E83" s="270"/>
      <c r="F83" s="240"/>
      <c r="G83" s="222"/>
      <c r="H83" s="222"/>
      <c r="I83" s="222"/>
      <c r="J83" s="223"/>
      <c r="K83" s="239"/>
      <c r="L83" s="271">
        <f>IF(E83&lt;&gt;"",VLOOKUP(E83,'Travel Rates'!$A$12:$B$17,2,FALSE),0)</f>
        <v>0</v>
      </c>
      <c r="M83" s="272">
        <f t="shared" si="17"/>
        <v>170</v>
      </c>
      <c r="N83" s="274">
        <f t="shared" si="17"/>
        <v>180</v>
      </c>
      <c r="O83" s="273">
        <f>$O$15</f>
        <v>66</v>
      </c>
      <c r="P83" s="660">
        <f>((G83*H83)*L83)</f>
        <v>0</v>
      </c>
      <c r="Q83" s="660">
        <f>((G83*I83)*J83)*M83</f>
        <v>0</v>
      </c>
      <c r="R83" s="661">
        <f>(K83*G83)*'Travel Rates'!$B$7</f>
        <v>0</v>
      </c>
      <c r="S83" s="661">
        <f>(G83*H83)*(I83-1)*N83</f>
        <v>0</v>
      </c>
      <c r="T83" s="662">
        <f>((G83*H83)*I83)*O83</f>
        <v>0</v>
      </c>
      <c r="U83" s="662">
        <f>SUM(P83:T83)</f>
        <v>0</v>
      </c>
      <c r="V83" s="179"/>
      <c r="W83" s="146" t="str">
        <f t="shared" si="3"/>
        <v>8.</v>
      </c>
      <c r="X83" s="84"/>
      <c r="Y83" s="84"/>
      <c r="Z83" s="84"/>
      <c r="AA83" s="84"/>
      <c r="AB83" s="84"/>
      <c r="AC83" s="84"/>
      <c r="AD83" s="84"/>
      <c r="AE83" s="62"/>
      <c r="AF83" s="84"/>
      <c r="AG83" s="84"/>
      <c r="AH83" s="84"/>
      <c r="AI83" s="84"/>
      <c r="AJ83" s="84"/>
      <c r="AK83" s="84"/>
      <c r="AL83" s="84"/>
      <c r="AM83" s="84"/>
      <c r="AN83" s="84"/>
      <c r="AO83" s="84"/>
      <c r="AP83" s="84"/>
      <c r="AQ83" s="84"/>
      <c r="AR83" s="84"/>
      <c r="AS83" s="84"/>
    </row>
    <row r="84" spans="1:45" s="104" customFormat="1" ht="12" customHeight="1">
      <c r="A84" s="344" t="str">
        <f>$A$28</f>
        <v>Total</v>
      </c>
      <c r="B84" s="278"/>
      <c r="C84" s="277"/>
      <c r="D84" s="298" t="str">
        <f>"Subtask No. "&amp;A78</f>
        <v>Subtask No. 8</v>
      </c>
      <c r="E84" s="280"/>
      <c r="F84" s="228"/>
      <c r="G84" s="229">
        <f>SUM(G79:G83)</f>
        <v>0</v>
      </c>
      <c r="H84" s="229">
        <f>SUM(H79:H83)</f>
        <v>0</v>
      </c>
      <c r="I84" s="229">
        <f>SUM(I79:I83)</f>
        <v>0</v>
      </c>
      <c r="J84" s="230">
        <f>SUM(J79:J83)</f>
        <v>0</v>
      </c>
      <c r="K84" s="231">
        <f>SUM(K79:K83)</f>
        <v>0</v>
      </c>
      <c r="L84" s="281" t="s">
        <v>0</v>
      </c>
      <c r="M84" s="282" t="s">
        <v>0</v>
      </c>
      <c r="N84" s="282" t="s">
        <v>0</v>
      </c>
      <c r="O84" s="283" t="s">
        <v>0</v>
      </c>
      <c r="P84" s="663">
        <f t="shared" ref="P84:U84" si="18">SUM(P79:P83)</f>
        <v>0</v>
      </c>
      <c r="Q84" s="663">
        <f t="shared" si="18"/>
        <v>0</v>
      </c>
      <c r="R84" s="663">
        <f t="shared" si="18"/>
        <v>0</v>
      </c>
      <c r="S84" s="663">
        <f t="shared" si="18"/>
        <v>0</v>
      </c>
      <c r="T84" s="664">
        <f t="shared" si="18"/>
        <v>0</v>
      </c>
      <c r="U84" s="664">
        <f t="shared" si="18"/>
        <v>0</v>
      </c>
      <c r="V84" s="179"/>
      <c r="W84" s="146" t="str">
        <f>IFERROR(LEFT($A84,FIND(".",$A84)),"")</f>
        <v/>
      </c>
      <c r="X84" s="84"/>
      <c r="Y84" s="84"/>
      <c r="Z84" s="84"/>
      <c r="AA84" s="84"/>
      <c r="AB84" s="84"/>
      <c r="AC84" s="84"/>
      <c r="AD84" s="84"/>
      <c r="AE84" s="62"/>
      <c r="AF84" s="84"/>
      <c r="AG84" s="84"/>
      <c r="AH84" s="84"/>
      <c r="AI84" s="84"/>
      <c r="AJ84" s="84"/>
      <c r="AK84" s="84"/>
      <c r="AL84" s="84"/>
      <c r="AM84" s="84"/>
      <c r="AN84" s="84"/>
      <c r="AO84" s="84"/>
      <c r="AP84" s="84"/>
      <c r="AQ84" s="84"/>
      <c r="AR84" s="84"/>
      <c r="AS84" s="84"/>
    </row>
    <row r="85" spans="1:45" s="104" customFormat="1" ht="12" customHeight="1" thickBot="1">
      <c r="A85" s="345"/>
      <c r="B85" s="284"/>
      <c r="C85" s="284"/>
      <c r="D85" s="285"/>
      <c r="E85" s="284"/>
      <c r="F85" s="232"/>
      <c r="G85" s="233"/>
      <c r="H85" s="233"/>
      <c r="I85" s="233"/>
      <c r="J85" s="233"/>
      <c r="K85" s="234"/>
      <c r="L85" s="286"/>
      <c r="M85" s="286"/>
      <c r="N85" s="286"/>
      <c r="O85" s="286"/>
      <c r="P85" s="286"/>
      <c r="Q85" s="286"/>
      <c r="R85" s="286"/>
      <c r="S85" s="286"/>
      <c r="T85" s="286"/>
      <c r="U85" s="286"/>
      <c r="V85" s="179"/>
      <c r="W85" s="146" t="str">
        <f t="shared" si="3"/>
        <v/>
      </c>
      <c r="X85" s="84"/>
      <c r="Y85" s="84"/>
      <c r="Z85" s="84"/>
      <c r="AA85" s="84"/>
      <c r="AB85" s="84"/>
      <c r="AC85" s="84"/>
      <c r="AD85" s="84"/>
      <c r="AE85" s="62"/>
      <c r="AF85" s="84"/>
      <c r="AG85" s="84"/>
      <c r="AH85" s="84"/>
      <c r="AI85" s="84"/>
      <c r="AJ85" s="84"/>
      <c r="AK85" s="84"/>
      <c r="AL85" s="84"/>
      <c r="AM85" s="84"/>
      <c r="AN85" s="84"/>
      <c r="AO85" s="84"/>
      <c r="AP85" s="84"/>
      <c r="AQ85" s="84"/>
      <c r="AR85" s="84"/>
      <c r="AS85" s="84"/>
    </row>
    <row r="86" spans="1:45" s="62" customFormat="1" ht="15" thickTop="1" thickBot="1">
      <c r="A86" s="346">
        <v>9</v>
      </c>
      <c r="B86" s="287" t="str">
        <f>VLOOKUP(D92,'Task Order Setup'!$A$6:$C$23,3,FALSE)</f>
        <v>.</v>
      </c>
      <c r="C86" s="288"/>
      <c r="D86" s="289"/>
      <c r="E86" s="290"/>
      <c r="F86" s="57"/>
      <c r="G86" s="57"/>
      <c r="H86" s="57"/>
      <c r="I86" s="57"/>
      <c r="J86" s="57"/>
      <c r="K86" s="57"/>
      <c r="L86" s="290"/>
      <c r="M86" s="290"/>
      <c r="N86" s="290"/>
      <c r="O86" s="290"/>
      <c r="P86" s="290"/>
      <c r="Q86" s="291"/>
      <c r="R86" s="292"/>
      <c r="S86" s="292"/>
      <c r="T86" s="292"/>
      <c r="U86" s="292"/>
      <c r="V86" s="179"/>
      <c r="W86" s="146" t="str">
        <f t="shared" si="3"/>
        <v/>
      </c>
      <c r="X86" s="84"/>
      <c r="Y86" s="84"/>
      <c r="Z86" s="84"/>
      <c r="AA86" s="84"/>
      <c r="AB86" s="84"/>
      <c r="AC86" s="84"/>
      <c r="AD86" s="84"/>
      <c r="AF86" s="84"/>
      <c r="AG86" s="84"/>
      <c r="AH86" s="84"/>
      <c r="AI86" s="84"/>
      <c r="AJ86" s="84"/>
      <c r="AK86" s="84"/>
      <c r="AL86" s="84"/>
      <c r="AM86" s="84"/>
      <c r="AN86" s="84"/>
      <c r="AO86" s="84"/>
      <c r="AP86" s="84"/>
      <c r="AQ86" s="84"/>
      <c r="AR86" s="84"/>
      <c r="AS86" s="84"/>
    </row>
    <row r="87" spans="1:45" s="104" customFormat="1" ht="12" customHeight="1" thickTop="1">
      <c r="A87" s="684">
        <v>9.1</v>
      </c>
      <c r="B87" s="268" t="s">
        <v>79</v>
      </c>
      <c r="C87" s="268" t="str">
        <f>IF(B87&lt;&gt;"",VLOOKUP($B87,Rates!$H$7:$I$23,2,FALSE),"")</f>
        <v>-</v>
      </c>
      <c r="D87" s="293"/>
      <c r="E87" s="270"/>
      <c r="F87" s="236"/>
      <c r="G87" s="237"/>
      <c r="H87" s="237"/>
      <c r="I87" s="237"/>
      <c r="J87" s="238"/>
      <c r="K87" s="239"/>
      <c r="L87" s="271">
        <f>IF(E87&lt;&gt;"",VLOOKUP(E87,'Travel Rates'!$A$12:$B$17,2,FALSE),0)</f>
        <v>0</v>
      </c>
      <c r="M87" s="272">
        <f t="shared" ref="M87:N91" si="19">M$15</f>
        <v>170</v>
      </c>
      <c r="N87" s="272">
        <f t="shared" si="19"/>
        <v>180</v>
      </c>
      <c r="O87" s="273">
        <f>$O$15</f>
        <v>66</v>
      </c>
      <c r="P87" s="660">
        <f>((G87*H87)*L87)</f>
        <v>0</v>
      </c>
      <c r="Q87" s="660">
        <f>((G87*I87)*J87)*M87</f>
        <v>0</v>
      </c>
      <c r="R87" s="661">
        <f>(K87*G87)*'Travel Rates'!$B$7</f>
        <v>0</v>
      </c>
      <c r="S87" s="661">
        <f>(G87*H87)*(I87-1)*N87</f>
        <v>0</v>
      </c>
      <c r="T87" s="662">
        <f>((G87*H87)*I87)*O87</f>
        <v>0</v>
      </c>
      <c r="U87" s="662">
        <f>SUM(P87:T87)</f>
        <v>0</v>
      </c>
      <c r="V87" s="179"/>
      <c r="W87" s="146" t="str">
        <f t="shared" si="3"/>
        <v>9.</v>
      </c>
      <c r="X87" s="84"/>
      <c r="Y87" s="84"/>
      <c r="Z87" s="84"/>
      <c r="AA87" s="84"/>
      <c r="AB87" s="84"/>
      <c r="AC87" s="84"/>
      <c r="AD87" s="84"/>
      <c r="AE87" s="62"/>
      <c r="AF87" s="84"/>
      <c r="AG87" s="84"/>
      <c r="AH87" s="84"/>
      <c r="AI87" s="84"/>
      <c r="AJ87" s="84"/>
      <c r="AK87" s="84"/>
      <c r="AL87" s="84"/>
      <c r="AM87" s="84"/>
      <c r="AN87" s="84"/>
      <c r="AO87" s="84"/>
      <c r="AP87" s="84"/>
      <c r="AQ87" s="84"/>
      <c r="AR87" s="84"/>
      <c r="AS87" s="84"/>
    </row>
    <row r="88" spans="1:45" s="104" customFormat="1" ht="12" customHeight="1">
      <c r="A88" s="684">
        <v>9.1999999999999993</v>
      </c>
      <c r="B88" s="268" t="s">
        <v>79</v>
      </c>
      <c r="C88" s="268" t="str">
        <f>IF(B88&lt;&gt;"",VLOOKUP($B88,Rates!$H$7:$I$23,2,FALSE),"")</f>
        <v>-</v>
      </c>
      <c r="D88" s="293"/>
      <c r="E88" s="270"/>
      <c r="F88" s="240"/>
      <c r="G88" s="222"/>
      <c r="H88" s="222"/>
      <c r="I88" s="222"/>
      <c r="J88" s="223"/>
      <c r="K88" s="239"/>
      <c r="L88" s="271">
        <f>IF(E88&lt;&gt;"",VLOOKUP(E88,'Travel Rates'!$A$12:$B$17,2,FALSE),0)</f>
        <v>0</v>
      </c>
      <c r="M88" s="272">
        <f t="shared" si="19"/>
        <v>170</v>
      </c>
      <c r="N88" s="274">
        <f t="shared" si="19"/>
        <v>180</v>
      </c>
      <c r="O88" s="273">
        <f>$O$15</f>
        <v>66</v>
      </c>
      <c r="P88" s="660">
        <f>((G88*H88)*L88)</f>
        <v>0</v>
      </c>
      <c r="Q88" s="660">
        <f>((G88*I88)*J88)*M88</f>
        <v>0</v>
      </c>
      <c r="R88" s="661">
        <f>(K88*G88)*'Travel Rates'!$B$7</f>
        <v>0</v>
      </c>
      <c r="S88" s="661">
        <f>(G88*H88)*(I88-1)*N88</f>
        <v>0</v>
      </c>
      <c r="T88" s="662">
        <f>((G88*H88)*I88)*O88</f>
        <v>0</v>
      </c>
      <c r="U88" s="662">
        <f>SUM(P88:T88)</f>
        <v>0</v>
      </c>
      <c r="V88" s="179"/>
      <c r="W88" s="146" t="str">
        <f t="shared" si="3"/>
        <v>9.</v>
      </c>
      <c r="X88" s="84"/>
      <c r="Y88" s="84"/>
      <c r="Z88" s="84"/>
      <c r="AA88" s="84"/>
      <c r="AB88" s="84"/>
      <c r="AC88" s="84"/>
      <c r="AD88" s="84"/>
      <c r="AE88" s="62"/>
      <c r="AF88" s="84"/>
      <c r="AG88" s="84"/>
      <c r="AH88" s="84"/>
      <c r="AI88" s="84"/>
      <c r="AJ88" s="84"/>
      <c r="AK88" s="84"/>
      <c r="AL88" s="84"/>
      <c r="AM88" s="84"/>
      <c r="AN88" s="84"/>
      <c r="AO88" s="84"/>
      <c r="AP88" s="84"/>
      <c r="AQ88" s="84"/>
      <c r="AR88" s="84"/>
      <c r="AS88" s="84"/>
    </row>
    <row r="89" spans="1:45" s="104" customFormat="1" ht="12" customHeight="1">
      <c r="A89" s="684">
        <v>9.3000000000000007</v>
      </c>
      <c r="B89" s="268" t="s">
        <v>79</v>
      </c>
      <c r="C89" s="268" t="str">
        <f>IF(B89&lt;&gt;"",VLOOKUP($B89,Rates!$H$7:$I$23,2,FALSE),"")</f>
        <v>-</v>
      </c>
      <c r="D89" s="293"/>
      <c r="E89" s="270"/>
      <c r="F89" s="240"/>
      <c r="G89" s="222"/>
      <c r="H89" s="222"/>
      <c r="I89" s="222"/>
      <c r="J89" s="223"/>
      <c r="K89" s="239"/>
      <c r="L89" s="271">
        <f>IF(E89&lt;&gt;"",VLOOKUP(E89,'Travel Rates'!$A$12:$B$17,2,FALSE),0)</f>
        <v>0</v>
      </c>
      <c r="M89" s="272">
        <f t="shared" si="19"/>
        <v>170</v>
      </c>
      <c r="N89" s="274">
        <f t="shared" si="19"/>
        <v>180</v>
      </c>
      <c r="O89" s="273">
        <f>$O$15</f>
        <v>66</v>
      </c>
      <c r="P89" s="660">
        <f>((G89*H89)*L89)</f>
        <v>0</v>
      </c>
      <c r="Q89" s="660">
        <f>((G89*I89)*J89)*M89</f>
        <v>0</v>
      </c>
      <c r="R89" s="661">
        <f>(K89*G89)*'Travel Rates'!$B$7</f>
        <v>0</v>
      </c>
      <c r="S89" s="661">
        <f>(G89*H89)*(I89-1)*N89</f>
        <v>0</v>
      </c>
      <c r="T89" s="662">
        <f>((G89*H89)*I89)*O89</f>
        <v>0</v>
      </c>
      <c r="U89" s="662">
        <f>SUM(P89:T89)</f>
        <v>0</v>
      </c>
      <c r="V89" s="179"/>
      <c r="W89" s="146" t="str">
        <f t="shared" si="3"/>
        <v>9.</v>
      </c>
      <c r="X89" s="84"/>
      <c r="Y89" s="84"/>
      <c r="Z89" s="84"/>
      <c r="AA89" s="84"/>
      <c r="AB89" s="84"/>
      <c r="AC89" s="84"/>
      <c r="AD89" s="84"/>
      <c r="AE89" s="62"/>
      <c r="AF89" s="84"/>
      <c r="AG89" s="84"/>
      <c r="AH89" s="84"/>
      <c r="AI89" s="84"/>
      <c r="AJ89" s="84"/>
      <c r="AK89" s="84"/>
      <c r="AL89" s="84"/>
      <c r="AM89" s="84"/>
      <c r="AN89" s="84"/>
      <c r="AO89" s="84"/>
      <c r="AP89" s="84"/>
      <c r="AQ89" s="84"/>
      <c r="AR89" s="84"/>
      <c r="AS89" s="84"/>
    </row>
    <row r="90" spans="1:45" s="104" customFormat="1" ht="12" customHeight="1">
      <c r="A90" s="684">
        <v>9.4</v>
      </c>
      <c r="B90" s="268" t="s">
        <v>79</v>
      </c>
      <c r="C90" s="268" t="str">
        <f>IF(B90&lt;&gt;"",VLOOKUP($B90,Rates!$H$7:$I$23,2,FALSE),"")</f>
        <v>-</v>
      </c>
      <c r="D90" s="293"/>
      <c r="E90" s="270"/>
      <c r="F90" s="240"/>
      <c r="G90" s="222"/>
      <c r="H90" s="222"/>
      <c r="I90" s="222"/>
      <c r="J90" s="223"/>
      <c r="K90" s="239"/>
      <c r="L90" s="271">
        <f>IF(E90&lt;&gt;"",VLOOKUP(E90,'Travel Rates'!$A$12:$B$17,2,FALSE),0)</f>
        <v>0</v>
      </c>
      <c r="M90" s="272">
        <f t="shared" si="19"/>
        <v>170</v>
      </c>
      <c r="N90" s="274">
        <f t="shared" si="19"/>
        <v>180</v>
      </c>
      <c r="O90" s="273">
        <f>$O$15</f>
        <v>66</v>
      </c>
      <c r="P90" s="660">
        <f>((G90*H90)*L90)</f>
        <v>0</v>
      </c>
      <c r="Q90" s="660">
        <f>((G90*I90)*J90)*M90</f>
        <v>0</v>
      </c>
      <c r="R90" s="661">
        <f>(K90*G90)*'Travel Rates'!$B$7</f>
        <v>0</v>
      </c>
      <c r="S90" s="661">
        <f>(G90*H90)*(I90-1)*N90</f>
        <v>0</v>
      </c>
      <c r="T90" s="662">
        <f>((G90*H90)*I90)*O90</f>
        <v>0</v>
      </c>
      <c r="U90" s="662">
        <f>SUM(P90:T90)</f>
        <v>0</v>
      </c>
      <c r="V90" s="179"/>
      <c r="W90" s="146" t="str">
        <f t="shared" si="3"/>
        <v>9.</v>
      </c>
      <c r="X90" s="84"/>
      <c r="Y90" s="84"/>
      <c r="Z90" s="84"/>
      <c r="AA90" s="84"/>
      <c r="AB90" s="84"/>
      <c r="AC90" s="84"/>
      <c r="AD90" s="84"/>
      <c r="AE90" s="62"/>
      <c r="AF90" s="84"/>
      <c r="AG90" s="84"/>
      <c r="AH90" s="84"/>
      <c r="AI90" s="84"/>
      <c r="AJ90" s="84"/>
      <c r="AK90" s="84"/>
      <c r="AL90" s="84"/>
      <c r="AM90" s="84"/>
      <c r="AN90" s="84"/>
      <c r="AO90" s="84"/>
      <c r="AP90" s="84"/>
      <c r="AQ90" s="84"/>
      <c r="AR90" s="84"/>
      <c r="AS90" s="84"/>
    </row>
    <row r="91" spans="1:45" s="104" customFormat="1" ht="12" customHeight="1">
      <c r="A91" s="684">
        <v>9.5</v>
      </c>
      <c r="B91" s="268" t="s">
        <v>79</v>
      </c>
      <c r="C91" s="268" t="str">
        <f>IF(B91&lt;&gt;"",VLOOKUP($B91,Rates!$H$7:$I$23,2,FALSE),"")</f>
        <v>-</v>
      </c>
      <c r="D91" s="293"/>
      <c r="E91" s="270"/>
      <c r="F91" s="240"/>
      <c r="G91" s="222"/>
      <c r="H91" s="222"/>
      <c r="I91" s="222"/>
      <c r="J91" s="223"/>
      <c r="K91" s="239"/>
      <c r="L91" s="271">
        <f>IF(E91&lt;&gt;"",VLOOKUP(E91,'Travel Rates'!$A$12:$B$17,2,FALSE),0)</f>
        <v>0</v>
      </c>
      <c r="M91" s="272">
        <f t="shared" si="19"/>
        <v>170</v>
      </c>
      <c r="N91" s="274">
        <f t="shared" si="19"/>
        <v>180</v>
      </c>
      <c r="O91" s="273">
        <f>$O$15</f>
        <v>66</v>
      </c>
      <c r="P91" s="660">
        <f>((G91*H91)*L91)</f>
        <v>0</v>
      </c>
      <c r="Q91" s="660">
        <f>((G91*I91)*J91)*M91</f>
        <v>0</v>
      </c>
      <c r="R91" s="661">
        <f>(K91*G91)*'Travel Rates'!$B$7</f>
        <v>0</v>
      </c>
      <c r="S91" s="661">
        <f>(G91*H91)*(I91-1)*N91</f>
        <v>0</v>
      </c>
      <c r="T91" s="662">
        <f>((G91*H91)*I91)*O91</f>
        <v>0</v>
      </c>
      <c r="U91" s="662">
        <f>SUM(P91:T91)</f>
        <v>0</v>
      </c>
      <c r="V91" s="179"/>
      <c r="W91" s="146" t="str">
        <f t="shared" si="3"/>
        <v>9.</v>
      </c>
      <c r="X91" s="84"/>
      <c r="Y91" s="84"/>
      <c r="Z91" s="84"/>
      <c r="AA91" s="84"/>
      <c r="AB91" s="84"/>
      <c r="AC91" s="84"/>
      <c r="AD91" s="84"/>
      <c r="AE91" s="62"/>
      <c r="AF91" s="84"/>
      <c r="AG91" s="84"/>
      <c r="AH91" s="84"/>
      <c r="AI91" s="84"/>
      <c r="AJ91" s="84"/>
      <c r="AK91" s="84"/>
      <c r="AL91" s="84"/>
      <c r="AM91" s="84"/>
      <c r="AN91" s="84"/>
      <c r="AO91" s="84"/>
      <c r="AP91" s="84"/>
      <c r="AQ91" s="84"/>
      <c r="AR91" s="84"/>
      <c r="AS91" s="84"/>
    </row>
    <row r="92" spans="1:45" s="104" customFormat="1" ht="12" customHeight="1">
      <c r="A92" s="344" t="str">
        <f>$A$28</f>
        <v>Total</v>
      </c>
      <c r="B92" s="278"/>
      <c r="C92" s="277"/>
      <c r="D92" s="298" t="str">
        <f>"Subtask No. "&amp;A86</f>
        <v>Subtask No. 9</v>
      </c>
      <c r="E92" s="280"/>
      <c r="F92" s="228"/>
      <c r="G92" s="229">
        <f>SUM(G87:G91)</f>
        <v>0</v>
      </c>
      <c r="H92" s="229">
        <f>SUM(H87:H91)</f>
        <v>0</v>
      </c>
      <c r="I92" s="229">
        <f>SUM(I87:I91)</f>
        <v>0</v>
      </c>
      <c r="J92" s="230">
        <f>SUM(J87:J91)</f>
        <v>0</v>
      </c>
      <c r="K92" s="231">
        <f>SUM(K87:K91)</f>
        <v>0</v>
      </c>
      <c r="L92" s="281" t="s">
        <v>0</v>
      </c>
      <c r="M92" s="282" t="s">
        <v>0</v>
      </c>
      <c r="N92" s="282" t="s">
        <v>0</v>
      </c>
      <c r="O92" s="283" t="s">
        <v>0</v>
      </c>
      <c r="P92" s="663">
        <f t="shared" ref="P92:U92" si="20">SUM(P87:P91)</f>
        <v>0</v>
      </c>
      <c r="Q92" s="663">
        <f t="shared" si="20"/>
        <v>0</v>
      </c>
      <c r="R92" s="663">
        <f t="shared" si="20"/>
        <v>0</v>
      </c>
      <c r="S92" s="663">
        <f t="shared" si="20"/>
        <v>0</v>
      </c>
      <c r="T92" s="664">
        <f t="shared" si="20"/>
        <v>0</v>
      </c>
      <c r="U92" s="664">
        <f t="shared" si="20"/>
        <v>0</v>
      </c>
      <c r="V92" s="179"/>
      <c r="W92" s="146" t="str">
        <f>IFERROR(LEFT($A92,FIND(".",$A92)),"")</f>
        <v/>
      </c>
      <c r="X92" s="84"/>
      <c r="Y92" s="84"/>
      <c r="Z92" s="84"/>
      <c r="AA92" s="84"/>
      <c r="AB92" s="84"/>
      <c r="AC92" s="84"/>
      <c r="AD92" s="84"/>
      <c r="AE92" s="62"/>
      <c r="AF92" s="84"/>
      <c r="AG92" s="84"/>
      <c r="AH92" s="84"/>
      <c r="AI92" s="84"/>
      <c r="AJ92" s="84"/>
      <c r="AK92" s="84"/>
      <c r="AL92" s="84"/>
      <c r="AM92" s="84"/>
      <c r="AN92" s="84"/>
      <c r="AO92" s="84"/>
      <c r="AP92" s="84"/>
      <c r="AQ92" s="84"/>
      <c r="AR92" s="84"/>
      <c r="AS92" s="84"/>
    </row>
    <row r="93" spans="1:45" s="104" customFormat="1" ht="12" customHeight="1" thickBot="1">
      <c r="A93" s="345"/>
      <c r="B93" s="284"/>
      <c r="C93" s="284"/>
      <c r="D93" s="285"/>
      <c r="E93" s="284"/>
      <c r="F93" s="232"/>
      <c r="G93" s="233"/>
      <c r="H93" s="233"/>
      <c r="I93" s="233"/>
      <c r="J93" s="233"/>
      <c r="K93" s="234"/>
      <c r="L93" s="286"/>
      <c r="M93" s="286"/>
      <c r="N93" s="286"/>
      <c r="O93" s="286"/>
      <c r="P93" s="286"/>
      <c r="Q93" s="286"/>
      <c r="R93" s="286"/>
      <c r="S93" s="286"/>
      <c r="T93" s="286"/>
      <c r="U93" s="286"/>
      <c r="V93" s="179"/>
      <c r="W93" s="146" t="str">
        <f t="shared" si="3"/>
        <v/>
      </c>
      <c r="X93" s="84"/>
      <c r="Y93" s="84"/>
      <c r="Z93" s="84"/>
      <c r="AA93" s="84"/>
      <c r="AB93" s="84"/>
      <c r="AC93" s="84"/>
      <c r="AD93" s="84"/>
      <c r="AE93" s="62"/>
      <c r="AF93" s="84"/>
      <c r="AG93" s="84"/>
      <c r="AH93" s="84"/>
      <c r="AI93" s="84"/>
      <c r="AJ93" s="84"/>
      <c r="AK93" s="84"/>
      <c r="AL93" s="84"/>
      <c r="AM93" s="84"/>
      <c r="AN93" s="84"/>
      <c r="AO93" s="84"/>
      <c r="AP93" s="84"/>
      <c r="AQ93" s="84"/>
      <c r="AR93" s="84"/>
      <c r="AS93" s="84"/>
    </row>
    <row r="94" spans="1:45" ht="14" customHeight="1" thickBot="1">
      <c r="A94" s="299"/>
      <c r="B94" s="299"/>
      <c r="C94" s="299"/>
      <c r="D94" s="299"/>
      <c r="E94" s="300"/>
      <c r="F94" s="300"/>
      <c r="G94" s="300"/>
      <c r="H94" s="300"/>
      <c r="I94" s="300"/>
      <c r="J94" s="300"/>
      <c r="K94" s="300"/>
      <c r="L94" s="301"/>
      <c r="M94" s="301"/>
      <c r="N94" s="302"/>
      <c r="O94" s="303" t="s">
        <v>75</v>
      </c>
      <c r="P94" s="665">
        <f t="shared" ref="P94:U94" si="21">SUMIFS(P$1:P$93,$A$1:$A$93,$O$94)</f>
        <v>1300</v>
      </c>
      <c r="Q94" s="665">
        <f t="shared" si="21"/>
        <v>1190</v>
      </c>
      <c r="R94" s="665">
        <f t="shared" si="21"/>
        <v>0</v>
      </c>
      <c r="S94" s="665">
        <f t="shared" si="21"/>
        <v>900</v>
      </c>
      <c r="T94" s="665">
        <f t="shared" si="21"/>
        <v>462</v>
      </c>
      <c r="U94" s="665">
        <f t="shared" si="21"/>
        <v>3852</v>
      </c>
      <c r="V94" s="179"/>
      <c r="W94" s="146" t="str">
        <f t="shared" si="3"/>
        <v/>
      </c>
      <c r="AE94" s="62"/>
    </row>
    <row r="95" spans="1:45" ht="10" customHeight="1" thickBot="1">
      <c r="A95" s="242"/>
      <c r="B95" s="242"/>
      <c r="C95" s="242"/>
      <c r="D95" s="242"/>
      <c r="E95" s="243"/>
      <c r="F95" s="243"/>
      <c r="G95" s="243"/>
      <c r="H95" s="243"/>
      <c r="I95" s="243"/>
      <c r="J95" s="243"/>
      <c r="K95" s="243"/>
      <c r="L95" s="244"/>
      <c r="M95" s="244"/>
      <c r="N95" s="245"/>
      <c r="O95" s="139"/>
      <c r="P95" s="140"/>
      <c r="Q95" s="140"/>
      <c r="R95" s="140"/>
      <c r="S95" s="140"/>
      <c r="T95" s="140"/>
      <c r="U95" s="141"/>
      <c r="V95" s="179"/>
      <c r="W95" s="146" t="str">
        <f t="shared" si="3"/>
        <v/>
      </c>
      <c r="AE95" s="62"/>
    </row>
    <row r="96" spans="1:45" ht="12" customHeight="1">
      <c r="A96" s="246"/>
      <c r="B96" s="246"/>
      <c r="C96" s="246"/>
      <c r="D96" s="246"/>
      <c r="E96" s="61"/>
      <c r="F96" s="61"/>
      <c r="G96" s="61"/>
      <c r="H96" s="61"/>
      <c r="I96" s="61"/>
      <c r="J96" s="61"/>
      <c r="K96" s="61"/>
      <c r="L96" s="61"/>
      <c r="M96" s="60"/>
      <c r="N96" s="142"/>
      <c r="O96" s="142"/>
      <c r="P96" s="143"/>
      <c r="Q96" s="143"/>
      <c r="R96" s="144"/>
      <c r="S96" s="145" t="s">
        <v>57</v>
      </c>
      <c r="T96" s="146"/>
      <c r="U96" s="666">
        <f>SUM(P94:T94)</f>
        <v>3852</v>
      </c>
      <c r="V96" s="179"/>
      <c r="W96" s="146" t="str">
        <f t="shared" si="3"/>
        <v/>
      </c>
      <c r="AE96" s="62"/>
    </row>
    <row r="97" spans="1:31" ht="13">
      <c r="A97" s="146"/>
      <c r="B97" s="146"/>
      <c r="C97" s="146"/>
      <c r="D97" s="146"/>
      <c r="E97" s="179"/>
      <c r="F97" s="179"/>
      <c r="G97" s="179"/>
      <c r="H97" s="179"/>
      <c r="I97" s="179"/>
      <c r="J97" s="179"/>
      <c r="K97" s="179"/>
      <c r="L97" s="179"/>
      <c r="M97" s="179"/>
      <c r="N97" s="142"/>
      <c r="O97" s="142"/>
      <c r="P97" s="143"/>
      <c r="Q97" s="143"/>
      <c r="R97" s="146"/>
      <c r="S97" s="146"/>
      <c r="T97" s="146"/>
      <c r="U97" s="179"/>
      <c r="V97" s="179"/>
      <c r="W97" s="146" t="str">
        <f t="shared" si="3"/>
        <v/>
      </c>
      <c r="AE97" s="62"/>
    </row>
    <row r="98" spans="1:31" ht="13">
      <c r="A98" s="146"/>
      <c r="B98" s="146"/>
      <c r="C98" s="146"/>
      <c r="D98" s="146"/>
      <c r="E98" s="179"/>
      <c r="F98" s="179"/>
      <c r="G98" s="179"/>
      <c r="H98" s="179"/>
      <c r="I98" s="179"/>
      <c r="J98" s="179"/>
      <c r="K98" s="179"/>
      <c r="L98" s="179"/>
      <c r="M98" s="179"/>
      <c r="N98" s="142"/>
      <c r="O98" s="142"/>
      <c r="P98" s="143"/>
      <c r="Q98" s="143"/>
      <c r="R98" s="146"/>
      <c r="S98" s="146"/>
      <c r="T98" s="146"/>
      <c r="U98" s="179"/>
      <c r="V98" s="179"/>
      <c r="W98" s="146" t="str">
        <f t="shared" si="3"/>
        <v/>
      </c>
      <c r="AE98" s="62"/>
    </row>
    <row r="99" spans="1:31" ht="13">
      <c r="A99" s="146"/>
      <c r="B99" s="146"/>
      <c r="C99" s="146"/>
      <c r="D99" s="146"/>
      <c r="E99" s="179"/>
      <c r="F99" s="179"/>
      <c r="G99" s="179"/>
      <c r="H99" s="179"/>
      <c r="I99" s="179"/>
      <c r="J99" s="179"/>
      <c r="K99" s="179"/>
      <c r="L99" s="179"/>
      <c r="M99" s="179"/>
      <c r="N99" s="142"/>
      <c r="O99" s="142"/>
      <c r="P99" s="143"/>
      <c r="Q99" s="143"/>
      <c r="R99" s="146"/>
      <c r="S99" s="146"/>
      <c r="T99" s="146"/>
      <c r="U99" s="179"/>
      <c r="V99" s="179"/>
      <c r="W99" s="146" t="str">
        <f t="shared" ref="W99:W133" si="22">IFERROR(LEFT($A99,FIND(".",$A99)),"")</f>
        <v/>
      </c>
      <c r="AE99" s="62"/>
    </row>
    <row r="100" spans="1:31" ht="13">
      <c r="A100" s="146"/>
      <c r="B100" s="146"/>
      <c r="C100" s="146"/>
      <c r="D100" s="146"/>
      <c r="E100" s="179"/>
      <c r="F100" s="179"/>
      <c r="G100" s="179"/>
      <c r="H100" s="179"/>
      <c r="I100" s="179"/>
      <c r="J100" s="179"/>
      <c r="K100" s="179"/>
      <c r="L100" s="179"/>
      <c r="M100" s="179"/>
      <c r="N100" s="142"/>
      <c r="O100" s="142"/>
      <c r="P100" s="143"/>
      <c r="Q100" s="143"/>
      <c r="R100" s="146"/>
      <c r="S100" s="146"/>
      <c r="T100" s="146"/>
      <c r="U100" s="179"/>
      <c r="V100" s="179"/>
      <c r="W100" s="146" t="str">
        <f t="shared" si="22"/>
        <v/>
      </c>
      <c r="AE100" s="62"/>
    </row>
    <row r="101" spans="1:31" ht="13">
      <c r="A101" s="146"/>
      <c r="B101" s="146"/>
      <c r="C101" s="146"/>
      <c r="D101" s="146"/>
      <c r="E101" s="179"/>
      <c r="F101" s="179"/>
      <c r="G101" s="179"/>
      <c r="H101" s="179"/>
      <c r="I101" s="179"/>
      <c r="J101" s="179"/>
      <c r="K101" s="179"/>
      <c r="L101" s="179"/>
      <c r="M101" s="179"/>
      <c r="N101" s="142"/>
      <c r="O101" s="142"/>
      <c r="P101" s="143"/>
      <c r="Q101" s="143"/>
      <c r="R101" s="146"/>
      <c r="S101" s="146"/>
      <c r="T101" s="146"/>
      <c r="U101" s="179"/>
      <c r="V101" s="179"/>
      <c r="W101" s="146" t="str">
        <f t="shared" si="22"/>
        <v/>
      </c>
      <c r="AE101" s="62"/>
    </row>
    <row r="102" spans="1:31" ht="13">
      <c r="A102" s="146"/>
      <c r="B102" s="146"/>
      <c r="C102" s="146"/>
      <c r="D102" s="146"/>
      <c r="E102" s="179"/>
      <c r="F102" s="179"/>
      <c r="G102" s="179"/>
      <c r="H102" s="179"/>
      <c r="I102" s="179"/>
      <c r="J102" s="179"/>
      <c r="K102" s="179"/>
      <c r="L102" s="179"/>
      <c r="M102" s="179"/>
      <c r="N102" s="142"/>
      <c r="O102" s="142"/>
      <c r="P102" s="143"/>
      <c r="Q102" s="143"/>
      <c r="R102" s="146"/>
      <c r="S102" s="146"/>
      <c r="T102" s="146"/>
      <c r="U102" s="179"/>
      <c r="V102" s="179"/>
      <c r="W102" s="146" t="str">
        <f t="shared" si="22"/>
        <v/>
      </c>
      <c r="AE102" s="62"/>
    </row>
    <row r="103" spans="1:31" ht="13">
      <c r="A103" s="146"/>
      <c r="B103" s="146"/>
      <c r="C103" s="146"/>
      <c r="D103" s="146"/>
      <c r="E103" s="179"/>
      <c r="F103" s="179"/>
      <c r="G103" s="179"/>
      <c r="H103" s="179"/>
      <c r="I103" s="179"/>
      <c r="J103" s="179"/>
      <c r="K103" s="179"/>
      <c r="L103" s="179"/>
      <c r="M103" s="179"/>
      <c r="N103" s="142"/>
      <c r="O103" s="142"/>
      <c r="P103" s="143"/>
      <c r="Q103" s="143"/>
      <c r="R103" s="146"/>
      <c r="S103" s="146"/>
      <c r="T103" s="146"/>
      <c r="U103" s="179"/>
      <c r="V103" s="179"/>
      <c r="W103" s="146" t="str">
        <f t="shared" si="22"/>
        <v/>
      </c>
      <c r="AE103" s="62"/>
    </row>
    <row r="104" spans="1:31" ht="13">
      <c r="A104" s="146"/>
      <c r="B104" s="146"/>
      <c r="C104" s="146"/>
      <c r="D104" s="146"/>
      <c r="E104" s="179"/>
      <c r="F104" s="179"/>
      <c r="G104" s="179"/>
      <c r="H104" s="179"/>
      <c r="I104" s="179"/>
      <c r="J104" s="179"/>
      <c r="K104" s="179"/>
      <c r="L104" s="179"/>
      <c r="M104" s="179"/>
      <c r="N104" s="142"/>
      <c r="O104" s="142"/>
      <c r="P104" s="143"/>
      <c r="Q104" s="143"/>
      <c r="R104" s="146"/>
      <c r="S104" s="146"/>
      <c r="T104" s="146"/>
      <c r="U104" s="179"/>
      <c r="V104" s="179"/>
      <c r="W104" s="146" t="str">
        <f t="shared" si="22"/>
        <v/>
      </c>
      <c r="AE104" s="62"/>
    </row>
    <row r="105" spans="1:31" ht="13">
      <c r="A105" s="146"/>
      <c r="B105" s="146"/>
      <c r="C105" s="146"/>
      <c r="D105" s="146"/>
      <c r="E105" s="179"/>
      <c r="F105" s="179"/>
      <c r="G105" s="179"/>
      <c r="H105" s="179"/>
      <c r="I105" s="179"/>
      <c r="J105" s="179"/>
      <c r="K105" s="179"/>
      <c r="L105" s="179"/>
      <c r="M105" s="179"/>
      <c r="N105" s="142"/>
      <c r="O105" s="142"/>
      <c r="P105" s="143"/>
      <c r="Q105" s="143"/>
      <c r="R105" s="146"/>
      <c r="S105" s="146"/>
      <c r="T105" s="146"/>
      <c r="U105" s="179"/>
      <c r="V105" s="179"/>
      <c r="W105" s="146" t="str">
        <f t="shared" si="22"/>
        <v/>
      </c>
      <c r="AE105" s="62"/>
    </row>
    <row r="106" spans="1:31" ht="13">
      <c r="A106" s="146"/>
      <c r="B106" s="146"/>
      <c r="C106" s="146"/>
      <c r="D106" s="146"/>
      <c r="E106" s="179"/>
      <c r="F106" s="179"/>
      <c r="G106" s="179"/>
      <c r="H106" s="179"/>
      <c r="I106" s="179"/>
      <c r="J106" s="179"/>
      <c r="K106" s="179"/>
      <c r="L106" s="179"/>
      <c r="M106" s="179"/>
      <c r="N106" s="142"/>
      <c r="O106" s="142"/>
      <c r="P106" s="143"/>
      <c r="Q106" s="143"/>
      <c r="R106" s="146"/>
      <c r="S106" s="146"/>
      <c r="T106" s="146"/>
      <c r="U106" s="179"/>
      <c r="V106" s="179"/>
      <c r="W106" s="146" t="str">
        <f t="shared" si="22"/>
        <v/>
      </c>
      <c r="AE106" s="62"/>
    </row>
    <row r="107" spans="1:31" ht="13">
      <c r="A107" s="146"/>
      <c r="B107" s="146"/>
      <c r="C107" s="146"/>
      <c r="D107" s="146"/>
      <c r="E107" s="179"/>
      <c r="F107" s="179"/>
      <c r="G107" s="179"/>
      <c r="H107" s="179"/>
      <c r="I107" s="179"/>
      <c r="J107" s="179"/>
      <c r="K107" s="179"/>
      <c r="L107" s="179"/>
      <c r="M107" s="179"/>
      <c r="N107" s="142"/>
      <c r="O107" s="142"/>
      <c r="P107" s="143"/>
      <c r="Q107" s="143"/>
      <c r="R107" s="146"/>
      <c r="S107" s="146"/>
      <c r="T107" s="146"/>
      <c r="U107" s="179"/>
      <c r="V107" s="179"/>
      <c r="W107" s="146" t="str">
        <f t="shared" si="22"/>
        <v/>
      </c>
      <c r="AE107" s="62"/>
    </row>
    <row r="108" spans="1:31" ht="13">
      <c r="A108" s="146"/>
      <c r="B108" s="146"/>
      <c r="C108" s="146"/>
      <c r="D108" s="146"/>
      <c r="E108" s="179"/>
      <c r="F108" s="179"/>
      <c r="G108" s="179"/>
      <c r="H108" s="179"/>
      <c r="I108" s="179"/>
      <c r="J108" s="179"/>
      <c r="K108" s="179"/>
      <c r="L108" s="179"/>
      <c r="M108" s="179"/>
      <c r="N108" s="142"/>
      <c r="O108" s="142"/>
      <c r="P108" s="143"/>
      <c r="Q108" s="143"/>
      <c r="R108" s="146"/>
      <c r="S108" s="146"/>
      <c r="T108" s="146"/>
      <c r="U108" s="179"/>
      <c r="V108" s="179"/>
      <c r="W108" s="146" t="str">
        <f t="shared" si="22"/>
        <v/>
      </c>
      <c r="AE108" s="62"/>
    </row>
    <row r="109" spans="1:31" ht="13">
      <c r="A109" s="146"/>
      <c r="B109" s="146"/>
      <c r="C109" s="146"/>
      <c r="D109" s="146"/>
      <c r="E109" s="179"/>
      <c r="F109" s="179"/>
      <c r="G109" s="179"/>
      <c r="H109" s="179"/>
      <c r="I109" s="179"/>
      <c r="J109" s="179"/>
      <c r="K109" s="179"/>
      <c r="L109" s="179"/>
      <c r="M109" s="179"/>
      <c r="N109" s="142"/>
      <c r="O109" s="142"/>
      <c r="P109" s="143"/>
      <c r="Q109" s="143"/>
      <c r="R109" s="146"/>
      <c r="S109" s="146"/>
      <c r="T109" s="146"/>
      <c r="U109" s="179"/>
      <c r="V109" s="179"/>
      <c r="W109" s="146" t="str">
        <f t="shared" si="22"/>
        <v/>
      </c>
      <c r="AE109" s="62"/>
    </row>
    <row r="110" spans="1:31" ht="13">
      <c r="A110" s="146"/>
      <c r="B110" s="146"/>
      <c r="C110" s="146"/>
      <c r="D110" s="146"/>
      <c r="E110" s="179"/>
      <c r="F110" s="179"/>
      <c r="G110" s="179"/>
      <c r="H110" s="179"/>
      <c r="I110" s="179"/>
      <c r="J110" s="179"/>
      <c r="K110" s="179"/>
      <c r="L110" s="179"/>
      <c r="M110" s="179"/>
      <c r="N110" s="142"/>
      <c r="O110" s="142"/>
      <c r="P110" s="143"/>
      <c r="Q110" s="143"/>
      <c r="R110" s="146"/>
      <c r="S110" s="146"/>
      <c r="T110" s="146"/>
      <c r="U110" s="179"/>
      <c r="V110" s="179"/>
      <c r="W110" s="146" t="str">
        <f t="shared" si="22"/>
        <v/>
      </c>
      <c r="AE110" s="62"/>
    </row>
    <row r="111" spans="1:31" ht="13">
      <c r="A111" s="146"/>
      <c r="B111" s="146"/>
      <c r="C111" s="146"/>
      <c r="D111" s="146"/>
      <c r="E111" s="179"/>
      <c r="F111" s="179"/>
      <c r="G111" s="179"/>
      <c r="H111" s="179"/>
      <c r="I111" s="179"/>
      <c r="J111" s="179"/>
      <c r="K111" s="179"/>
      <c r="L111" s="179"/>
      <c r="M111" s="179"/>
      <c r="N111" s="142"/>
      <c r="O111" s="142"/>
      <c r="P111" s="143"/>
      <c r="Q111" s="143"/>
      <c r="R111" s="146"/>
      <c r="S111" s="146"/>
      <c r="T111" s="146"/>
      <c r="U111" s="179"/>
      <c r="V111" s="179"/>
      <c r="W111" s="146" t="str">
        <f t="shared" si="22"/>
        <v/>
      </c>
      <c r="AE111" s="62"/>
    </row>
    <row r="112" spans="1:31" ht="13">
      <c r="A112" s="146"/>
      <c r="B112" s="146"/>
      <c r="C112" s="146"/>
      <c r="D112" s="146"/>
      <c r="E112" s="179"/>
      <c r="F112" s="179"/>
      <c r="G112" s="179"/>
      <c r="H112" s="179"/>
      <c r="I112" s="179"/>
      <c r="J112" s="179"/>
      <c r="K112" s="179"/>
      <c r="L112" s="179"/>
      <c r="M112" s="179"/>
      <c r="N112" s="142"/>
      <c r="O112" s="142"/>
      <c r="P112" s="143"/>
      <c r="Q112" s="143"/>
      <c r="R112" s="146"/>
      <c r="S112" s="146"/>
      <c r="T112" s="146"/>
      <c r="U112" s="179"/>
      <c r="V112" s="179"/>
      <c r="W112" s="146" t="str">
        <f t="shared" si="22"/>
        <v/>
      </c>
      <c r="AE112" s="62"/>
    </row>
    <row r="113" spans="1:31" ht="13">
      <c r="A113" s="146"/>
      <c r="B113" s="146"/>
      <c r="C113" s="146"/>
      <c r="D113" s="146"/>
      <c r="E113" s="146"/>
      <c r="F113" s="179"/>
      <c r="G113" s="179"/>
      <c r="H113" s="179"/>
      <c r="I113" s="179"/>
      <c r="J113" s="179"/>
      <c r="K113" s="179"/>
      <c r="L113" s="179"/>
      <c r="M113" s="179"/>
      <c r="N113" s="179"/>
      <c r="O113" s="142"/>
      <c r="P113" s="142"/>
      <c r="Q113" s="143"/>
      <c r="R113" s="143"/>
      <c r="S113" s="146"/>
      <c r="T113" s="146"/>
      <c r="U113" s="146"/>
      <c r="V113" s="179"/>
      <c r="W113" s="146" t="str">
        <f t="shared" si="22"/>
        <v/>
      </c>
      <c r="AE113" s="62"/>
    </row>
    <row r="114" spans="1:31" ht="13">
      <c r="A114" s="146"/>
      <c r="B114" s="146"/>
      <c r="C114" s="146"/>
      <c r="D114" s="146"/>
      <c r="E114" s="146"/>
      <c r="F114" s="179"/>
      <c r="G114" s="179"/>
      <c r="H114" s="179"/>
      <c r="I114" s="179"/>
      <c r="J114" s="179"/>
      <c r="K114" s="179"/>
      <c r="L114" s="179"/>
      <c r="M114" s="179"/>
      <c r="N114" s="179"/>
      <c r="O114" s="142"/>
      <c r="P114" s="142"/>
      <c r="Q114" s="143"/>
      <c r="R114" s="143"/>
      <c r="S114" s="146"/>
      <c r="T114" s="146"/>
      <c r="U114" s="146"/>
      <c r="V114" s="179"/>
      <c r="W114" s="146" t="str">
        <f t="shared" si="22"/>
        <v/>
      </c>
      <c r="AE114" s="62"/>
    </row>
    <row r="115" spans="1:31" ht="13">
      <c r="A115" s="146"/>
      <c r="B115" s="146"/>
      <c r="C115" s="146"/>
      <c r="D115" s="146"/>
      <c r="E115" s="146"/>
      <c r="F115" s="179"/>
      <c r="G115" s="179"/>
      <c r="H115" s="179"/>
      <c r="I115" s="179"/>
      <c r="J115" s="179"/>
      <c r="K115" s="179"/>
      <c r="L115" s="179"/>
      <c r="M115" s="179"/>
      <c r="N115" s="179"/>
      <c r="O115" s="142"/>
      <c r="P115" s="142"/>
      <c r="Q115" s="143"/>
      <c r="R115" s="143"/>
      <c r="S115" s="146"/>
      <c r="T115" s="146"/>
      <c r="U115" s="146"/>
      <c r="V115" s="179"/>
      <c r="W115" s="146" t="str">
        <f t="shared" si="22"/>
        <v/>
      </c>
      <c r="AE115" s="62"/>
    </row>
    <row r="116" spans="1:31" ht="13">
      <c r="A116" s="146"/>
      <c r="B116" s="146"/>
      <c r="C116" s="146"/>
      <c r="D116" s="146"/>
      <c r="E116" s="146"/>
      <c r="F116" s="179"/>
      <c r="G116" s="179"/>
      <c r="H116" s="179"/>
      <c r="I116" s="179"/>
      <c r="J116" s="179"/>
      <c r="K116" s="179"/>
      <c r="L116" s="179"/>
      <c r="M116" s="179"/>
      <c r="N116" s="179"/>
      <c r="O116" s="142"/>
      <c r="P116" s="142"/>
      <c r="Q116" s="143"/>
      <c r="R116" s="143"/>
      <c r="S116" s="146"/>
      <c r="T116" s="146"/>
      <c r="U116" s="146"/>
      <c r="V116" s="179"/>
      <c r="W116" s="146" t="str">
        <f t="shared" si="22"/>
        <v/>
      </c>
      <c r="AE116" s="62"/>
    </row>
    <row r="117" spans="1:31" ht="13">
      <c r="A117" s="146"/>
      <c r="B117" s="146"/>
      <c r="C117" s="146"/>
      <c r="D117" s="146"/>
      <c r="E117" s="146"/>
      <c r="F117" s="179"/>
      <c r="G117" s="179"/>
      <c r="H117" s="179"/>
      <c r="I117" s="179"/>
      <c r="J117" s="179"/>
      <c r="K117" s="179"/>
      <c r="L117" s="179"/>
      <c r="M117" s="179"/>
      <c r="N117" s="179"/>
      <c r="O117" s="142"/>
      <c r="P117" s="142"/>
      <c r="Q117" s="143"/>
      <c r="R117" s="143"/>
      <c r="S117" s="146"/>
      <c r="T117" s="146"/>
      <c r="U117" s="146"/>
      <c r="V117" s="179"/>
      <c r="W117" s="146" t="str">
        <f t="shared" si="22"/>
        <v/>
      </c>
      <c r="AE117" s="62"/>
    </row>
    <row r="118" spans="1:31" ht="13">
      <c r="A118" s="146"/>
      <c r="B118" s="146"/>
      <c r="C118" s="146"/>
      <c r="D118" s="146"/>
      <c r="E118" s="146"/>
      <c r="F118" s="179"/>
      <c r="G118" s="179"/>
      <c r="H118" s="179"/>
      <c r="I118" s="179"/>
      <c r="J118" s="179"/>
      <c r="K118" s="179"/>
      <c r="L118" s="179"/>
      <c r="M118" s="179"/>
      <c r="N118" s="179"/>
      <c r="O118" s="142"/>
      <c r="P118" s="142"/>
      <c r="Q118" s="143"/>
      <c r="R118" s="143"/>
      <c r="S118" s="146"/>
      <c r="T118" s="146"/>
      <c r="U118" s="146"/>
      <c r="V118" s="179"/>
      <c r="W118" s="146" t="str">
        <f t="shared" si="22"/>
        <v/>
      </c>
      <c r="AE118" s="62"/>
    </row>
    <row r="119" spans="1:31" ht="13">
      <c r="A119" s="146"/>
      <c r="B119" s="146"/>
      <c r="C119" s="146"/>
      <c r="D119" s="146"/>
      <c r="E119" s="146"/>
      <c r="F119" s="179"/>
      <c r="G119" s="179"/>
      <c r="H119" s="179"/>
      <c r="I119" s="179"/>
      <c r="J119" s="179"/>
      <c r="K119" s="179"/>
      <c r="L119" s="179"/>
      <c r="M119" s="179"/>
      <c r="N119" s="179"/>
      <c r="O119" s="142"/>
      <c r="P119" s="142"/>
      <c r="Q119" s="143"/>
      <c r="R119" s="143"/>
      <c r="S119" s="146"/>
      <c r="T119" s="146"/>
      <c r="U119" s="146"/>
      <c r="V119" s="179"/>
      <c r="W119" s="146" t="str">
        <f t="shared" si="22"/>
        <v/>
      </c>
      <c r="AE119" s="62"/>
    </row>
    <row r="120" spans="1:31" ht="13">
      <c r="A120" s="146"/>
      <c r="B120" s="146"/>
      <c r="C120" s="146"/>
      <c r="D120" s="146"/>
      <c r="E120" s="146"/>
      <c r="F120" s="179"/>
      <c r="G120" s="179"/>
      <c r="H120" s="179"/>
      <c r="I120" s="179"/>
      <c r="J120" s="179"/>
      <c r="K120" s="179"/>
      <c r="L120" s="179"/>
      <c r="M120" s="179"/>
      <c r="N120" s="179"/>
      <c r="O120" s="142"/>
      <c r="P120" s="142"/>
      <c r="Q120" s="143"/>
      <c r="R120" s="143"/>
      <c r="S120" s="146"/>
      <c r="T120" s="146"/>
      <c r="U120" s="146"/>
      <c r="V120" s="179"/>
      <c r="W120" s="146" t="str">
        <f t="shared" si="22"/>
        <v/>
      </c>
      <c r="AE120" s="62"/>
    </row>
    <row r="121" spans="1:31" ht="13">
      <c r="A121" s="146"/>
      <c r="B121" s="146"/>
      <c r="C121" s="146"/>
      <c r="D121" s="146"/>
      <c r="E121" s="146"/>
      <c r="F121" s="179"/>
      <c r="G121" s="179"/>
      <c r="H121" s="179"/>
      <c r="I121" s="179"/>
      <c r="J121" s="179"/>
      <c r="K121" s="179"/>
      <c r="L121" s="179"/>
      <c r="M121" s="179"/>
      <c r="N121" s="179"/>
      <c r="O121" s="142"/>
      <c r="P121" s="142"/>
      <c r="Q121" s="143"/>
      <c r="R121" s="143"/>
      <c r="S121" s="146"/>
      <c r="T121" s="146"/>
      <c r="U121" s="146"/>
      <c r="V121" s="179"/>
      <c r="W121" s="146" t="str">
        <f t="shared" si="22"/>
        <v/>
      </c>
      <c r="AE121" s="62"/>
    </row>
    <row r="122" spans="1:31" ht="13">
      <c r="A122" s="146"/>
      <c r="B122" s="146"/>
      <c r="C122" s="146"/>
      <c r="D122" s="146"/>
      <c r="E122" s="146"/>
      <c r="F122" s="179"/>
      <c r="G122" s="179"/>
      <c r="H122" s="179"/>
      <c r="I122" s="179"/>
      <c r="J122" s="179"/>
      <c r="K122" s="179"/>
      <c r="L122" s="179"/>
      <c r="M122" s="179"/>
      <c r="N122" s="179"/>
      <c r="O122" s="142"/>
      <c r="P122" s="142"/>
      <c r="Q122" s="143"/>
      <c r="R122" s="143"/>
      <c r="S122" s="146"/>
      <c r="T122" s="146"/>
      <c r="U122" s="146"/>
      <c r="V122" s="179"/>
      <c r="W122" s="146" t="str">
        <f t="shared" si="22"/>
        <v/>
      </c>
      <c r="AE122" s="62"/>
    </row>
    <row r="123" spans="1:31" ht="13">
      <c r="A123" s="146"/>
      <c r="B123" s="146"/>
      <c r="C123" s="146"/>
      <c r="D123" s="146"/>
      <c r="E123" s="146"/>
      <c r="F123" s="179"/>
      <c r="G123" s="179"/>
      <c r="H123" s="179"/>
      <c r="I123" s="179"/>
      <c r="J123" s="179"/>
      <c r="K123" s="179"/>
      <c r="L123" s="179"/>
      <c r="M123" s="179"/>
      <c r="N123" s="179"/>
      <c r="O123" s="142"/>
      <c r="P123" s="142"/>
      <c r="Q123" s="143"/>
      <c r="R123" s="143"/>
      <c r="S123" s="146"/>
      <c r="T123" s="146"/>
      <c r="U123" s="146"/>
      <c r="V123" s="179"/>
      <c r="W123" s="146" t="str">
        <f t="shared" si="22"/>
        <v/>
      </c>
      <c r="AE123" s="62"/>
    </row>
    <row r="124" spans="1:31" ht="13">
      <c r="A124" s="146"/>
      <c r="B124" s="146"/>
      <c r="C124" s="146"/>
      <c r="D124" s="146"/>
      <c r="E124" s="146"/>
      <c r="F124" s="179"/>
      <c r="G124" s="179"/>
      <c r="H124" s="179"/>
      <c r="I124" s="179"/>
      <c r="J124" s="179"/>
      <c r="K124" s="179"/>
      <c r="L124" s="179"/>
      <c r="M124" s="179"/>
      <c r="N124" s="179"/>
      <c r="O124" s="142"/>
      <c r="P124" s="142"/>
      <c r="Q124" s="143"/>
      <c r="R124" s="143"/>
      <c r="S124" s="146"/>
      <c r="T124" s="146"/>
      <c r="U124" s="146"/>
      <c r="V124" s="179"/>
      <c r="W124" s="146" t="str">
        <f t="shared" si="22"/>
        <v/>
      </c>
      <c r="AE124" s="62"/>
    </row>
    <row r="125" spans="1:31" ht="13">
      <c r="A125" s="146"/>
      <c r="B125" s="146"/>
      <c r="C125" s="146"/>
      <c r="D125" s="146"/>
      <c r="E125" s="146"/>
      <c r="F125" s="179"/>
      <c r="G125" s="179"/>
      <c r="H125" s="179"/>
      <c r="I125" s="179"/>
      <c r="J125" s="179"/>
      <c r="K125" s="179"/>
      <c r="L125" s="179"/>
      <c r="M125" s="179"/>
      <c r="N125" s="179"/>
      <c r="O125" s="142"/>
      <c r="P125" s="142"/>
      <c r="Q125" s="143"/>
      <c r="R125" s="143"/>
      <c r="S125" s="146"/>
      <c r="T125" s="146"/>
      <c r="U125" s="146"/>
      <c r="V125" s="179"/>
      <c r="W125" s="146" t="str">
        <f t="shared" si="22"/>
        <v/>
      </c>
      <c r="AE125" s="62"/>
    </row>
    <row r="126" spans="1:31" ht="13">
      <c r="A126" s="146"/>
      <c r="B126" s="146"/>
      <c r="C126" s="146"/>
      <c r="D126" s="146"/>
      <c r="E126" s="146"/>
      <c r="F126" s="179"/>
      <c r="G126" s="179"/>
      <c r="H126" s="179"/>
      <c r="I126" s="179"/>
      <c r="J126" s="179"/>
      <c r="K126" s="179"/>
      <c r="L126" s="179"/>
      <c r="M126" s="179"/>
      <c r="N126" s="179"/>
      <c r="O126" s="142"/>
      <c r="P126" s="142"/>
      <c r="Q126" s="143"/>
      <c r="R126" s="143"/>
      <c r="S126" s="146"/>
      <c r="T126" s="146"/>
      <c r="U126" s="146"/>
      <c r="V126" s="179"/>
      <c r="W126" s="146" t="str">
        <f t="shared" si="22"/>
        <v/>
      </c>
      <c r="AE126" s="62"/>
    </row>
    <row r="127" spans="1:31" ht="13">
      <c r="V127" s="179"/>
      <c r="W127" s="146" t="str">
        <f t="shared" si="22"/>
        <v/>
      </c>
      <c r="AE127" s="62"/>
    </row>
    <row r="128" spans="1:31" ht="13">
      <c r="V128" s="179"/>
      <c r="W128" s="146" t="str">
        <f t="shared" si="22"/>
        <v/>
      </c>
      <c r="AE128" s="62"/>
    </row>
    <row r="129" spans="22:31" ht="13">
      <c r="V129" s="179"/>
      <c r="W129" s="146" t="str">
        <f t="shared" si="22"/>
        <v/>
      </c>
      <c r="AE129" s="62"/>
    </row>
    <row r="130" spans="22:31" ht="13">
      <c r="V130" s="179"/>
      <c r="W130" s="146" t="str">
        <f t="shared" si="22"/>
        <v/>
      </c>
      <c r="AE130" s="62"/>
    </row>
    <row r="131" spans="22:31" ht="13">
      <c r="V131" s="179"/>
      <c r="W131" s="146" t="str">
        <f t="shared" si="22"/>
        <v/>
      </c>
      <c r="AE131" s="62"/>
    </row>
    <row r="132" spans="22:31" ht="13">
      <c r="V132" s="179"/>
      <c r="W132" s="146" t="str">
        <f t="shared" si="22"/>
        <v/>
      </c>
      <c r="AE132" s="62"/>
    </row>
    <row r="133" spans="22:31" ht="13">
      <c r="V133" s="179"/>
      <c r="W133" s="146" t="str">
        <f t="shared" si="22"/>
        <v/>
      </c>
      <c r="AE133" s="62"/>
    </row>
    <row r="134" spans="22:31" ht="13">
      <c r="V134" s="179"/>
      <c r="W134" s="376"/>
      <c r="AE134" s="62"/>
    </row>
    <row r="135" spans="22:31" ht="13">
      <c r="V135" s="179"/>
      <c r="W135" s="376"/>
      <c r="AE135" s="62"/>
    </row>
    <row r="136" spans="22:31" ht="13">
      <c r="V136" s="179"/>
      <c r="W136" s="376"/>
      <c r="AE136" s="62"/>
    </row>
    <row r="137" spans="22:31" ht="13">
      <c r="V137" s="179"/>
      <c r="W137" s="376"/>
      <c r="AE137" s="62"/>
    </row>
    <row r="138" spans="22:31" ht="13">
      <c r="V138" s="179"/>
      <c r="W138" s="376"/>
      <c r="AE138" s="62"/>
    </row>
    <row r="139" spans="22:31" ht="13">
      <c r="V139" s="179"/>
      <c r="W139" s="376"/>
      <c r="AE139" s="62"/>
    </row>
    <row r="140" spans="22:31" ht="13">
      <c r="V140" s="179"/>
      <c r="W140" s="376"/>
      <c r="AE140" s="62"/>
    </row>
    <row r="141" spans="22:31" ht="13">
      <c r="V141" s="179"/>
      <c r="W141" s="376"/>
      <c r="AE141" s="62"/>
    </row>
    <row r="142" spans="22:31" ht="13">
      <c r="V142" s="179"/>
      <c r="W142" s="376"/>
      <c r="AE142" s="62"/>
    </row>
    <row r="143" spans="22:31" ht="13">
      <c r="V143" s="179"/>
      <c r="W143" s="376"/>
      <c r="AE143" s="62"/>
    </row>
    <row r="144" spans="22:31" ht="13">
      <c r="V144" s="179"/>
      <c r="W144" s="376"/>
      <c r="AE144" s="62"/>
    </row>
    <row r="145" spans="9:31" ht="13">
      <c r="V145" s="179"/>
      <c r="W145" s="376"/>
      <c r="AE145" s="62"/>
    </row>
    <row r="146" spans="9:31" ht="13">
      <c r="V146" s="179"/>
      <c r="W146" s="376"/>
      <c r="AE146" s="62"/>
    </row>
    <row r="147" spans="9:31" ht="13">
      <c r="V147" s="179"/>
      <c r="W147" s="376"/>
      <c r="AE147" s="62"/>
    </row>
    <row r="148" spans="9:31" ht="13">
      <c r="V148" s="179"/>
      <c r="W148" s="376"/>
      <c r="AE148" s="62"/>
    </row>
    <row r="149" spans="9:31" ht="13">
      <c r="V149" s="179"/>
      <c r="W149" s="376"/>
      <c r="AE149" s="62"/>
    </row>
    <row r="150" spans="9:31" ht="13">
      <c r="I150" s="147"/>
      <c r="V150" s="179"/>
      <c r="AE150" s="62"/>
    </row>
  </sheetData>
  <mergeCells count="1">
    <mergeCell ref="P17:U17"/>
  </mergeCells>
  <phoneticPr fontId="3" type="noConversion"/>
  <conditionalFormatting sqref="F55:J58">
    <cfRule type="cellIs" dxfId="40" priority="35" stopIfTrue="1" operator="equal">
      <formula>0</formula>
    </cfRule>
  </conditionalFormatting>
  <conditionalFormatting sqref="F39:J42">
    <cfRule type="cellIs" dxfId="39" priority="37" stopIfTrue="1" operator="equal">
      <formula>0</formula>
    </cfRule>
  </conditionalFormatting>
  <conditionalFormatting sqref="F47:J47 F50:J50">
    <cfRule type="cellIs" dxfId="38" priority="36" stopIfTrue="1" operator="equal">
      <formula>0</formula>
    </cfRule>
  </conditionalFormatting>
  <conditionalFormatting sqref="F87:J91">
    <cfRule type="cellIs" dxfId="37" priority="34" stopIfTrue="1" operator="equal">
      <formula>0</formula>
    </cfRule>
  </conditionalFormatting>
  <conditionalFormatting sqref="E39:E42">
    <cfRule type="cellIs" dxfId="36" priority="28" stopIfTrue="1" operator="equal">
      <formula>0</formula>
    </cfRule>
  </conditionalFormatting>
  <conditionalFormatting sqref="E47 E50">
    <cfRule type="cellIs" dxfId="35" priority="27" stopIfTrue="1" operator="equal">
      <formula>0</formula>
    </cfRule>
  </conditionalFormatting>
  <conditionalFormatting sqref="E55:E58">
    <cfRule type="cellIs" dxfId="34" priority="26" stopIfTrue="1" operator="equal">
      <formula>0</formula>
    </cfRule>
  </conditionalFormatting>
  <conditionalFormatting sqref="E87:E91">
    <cfRule type="cellIs" dxfId="33" priority="25" stopIfTrue="1" operator="equal">
      <formula>0</formula>
    </cfRule>
  </conditionalFormatting>
  <conditionalFormatting sqref="F48:J49">
    <cfRule type="cellIs" dxfId="32" priority="16" stopIfTrue="1" operator="equal">
      <formula>0</formula>
    </cfRule>
  </conditionalFormatting>
  <conditionalFormatting sqref="E48:E49">
    <cfRule type="cellIs" dxfId="31" priority="15" stopIfTrue="1" operator="equal">
      <formula>0</formula>
    </cfRule>
  </conditionalFormatting>
  <conditionalFormatting sqref="F51:J51">
    <cfRule type="cellIs" dxfId="30" priority="14" stopIfTrue="1" operator="equal">
      <formula>0</formula>
    </cfRule>
  </conditionalFormatting>
  <conditionalFormatting sqref="E51">
    <cfRule type="cellIs" dxfId="29" priority="13" stopIfTrue="1" operator="equal">
      <formula>0</formula>
    </cfRule>
  </conditionalFormatting>
  <conditionalFormatting sqref="F63:J67">
    <cfRule type="cellIs" dxfId="28" priority="8" stopIfTrue="1" operator="equal">
      <formula>0</formula>
    </cfRule>
  </conditionalFormatting>
  <conditionalFormatting sqref="E63:E67">
    <cfRule type="cellIs" dxfId="27" priority="7" stopIfTrue="1" operator="equal">
      <formula>0</formula>
    </cfRule>
  </conditionalFormatting>
  <conditionalFormatting sqref="F71:J75">
    <cfRule type="cellIs" dxfId="26" priority="6" stopIfTrue="1" operator="equal">
      <formula>0</formula>
    </cfRule>
  </conditionalFormatting>
  <conditionalFormatting sqref="E71:E75">
    <cfRule type="cellIs" dxfId="25" priority="5" stopIfTrue="1" operator="equal">
      <formula>0</formula>
    </cfRule>
  </conditionalFormatting>
  <conditionalFormatting sqref="F79:J83">
    <cfRule type="cellIs" dxfId="24" priority="4" stopIfTrue="1" operator="equal">
      <formula>0</formula>
    </cfRule>
  </conditionalFormatting>
  <conditionalFormatting sqref="E79:E83">
    <cfRule type="cellIs" dxfId="23" priority="3" stopIfTrue="1" operator="equal">
      <formula>0</formula>
    </cfRule>
  </conditionalFormatting>
  <conditionalFormatting sqref="F31:J34">
    <cfRule type="cellIs" dxfId="22" priority="2" stopIfTrue="1" operator="equal">
      <formula>0</formula>
    </cfRule>
  </conditionalFormatting>
  <conditionalFormatting sqref="E31:E34">
    <cfRule type="cellIs" dxfId="21" priority="1" stopIfTrue="1" operator="equal">
      <formula>0</formula>
    </cfRule>
  </conditionalFormatting>
  <dataValidations count="2">
    <dataValidation type="list" allowBlank="1" showInputMessage="1" showErrorMessage="1" sqref="E87:E91 E23:E27 E79:E83 E39:E43 E55:E59 E47:E51 E63:E67 E71:E75 E31:E35" xr:uid="{00000000-0002-0000-0200-000000000000}">
      <formula1>Origination</formula1>
    </dataValidation>
    <dataValidation type="list" allowBlank="1" showInputMessage="1" showErrorMessage="1" sqref="B39:B43 B79:B83 B23:B27 B47:B51 B87:B91 B55:B59 B63:B67 B71:B75 B31:B35" xr:uid="{00000000-0002-0000-0200-000001000000}">
      <formula1>Company</formula1>
    </dataValidation>
  </dataValidations>
  <pageMargins left="0.75" right="0.75" top="1" bottom="1" header="0.5" footer="0.5"/>
  <pageSetup scale="39" fitToHeight="0" orientation="landscape" r:id="rId1"/>
  <headerFooter alignWithMargins="0">
    <oddFooter>&amp;L&amp;Z
&amp;F&amp;RSheet 5 of 9
&amp;T  &amp;D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2060"/>
    <pageSetUpPr fitToPage="1"/>
  </sheetPr>
  <dimension ref="A1:H137"/>
  <sheetViews>
    <sheetView topLeftCell="A14" zoomScaleNormal="100" zoomScaleSheetLayoutView="100" workbookViewId="0">
      <selection activeCell="A123" sqref="A123:A132"/>
    </sheetView>
  </sheetViews>
  <sheetFormatPr baseColWidth="10" defaultColWidth="8.83203125" defaultRowHeight="13"/>
  <cols>
    <col min="1" max="2" width="17" style="87" customWidth="1"/>
    <col min="3" max="3" width="13.1640625" style="87" customWidth="1"/>
    <col min="4" max="4" width="46.83203125" style="87" customWidth="1"/>
    <col min="5" max="5" width="14.5" style="169" customWidth="1"/>
    <col min="6" max="6" width="17.6640625" style="170" customWidth="1"/>
    <col min="7" max="7" width="16.33203125" style="170" customWidth="1"/>
    <col min="8" max="8" width="24.5" style="151" customWidth="1"/>
    <col min="9" max="19" width="10.83203125" customWidth="1"/>
  </cols>
  <sheetData>
    <row r="1" spans="1:8" ht="20">
      <c r="B1" s="359" t="str">
        <f>'Task Order Setup'!C1</f>
        <v>Task Order No. 1 Mod 0: General Consulting Services</v>
      </c>
      <c r="C1" s="79"/>
      <c r="D1" s="79"/>
      <c r="E1" s="148"/>
      <c r="F1" s="149"/>
      <c r="G1" s="150"/>
      <c r="H1" s="83"/>
    </row>
    <row r="2" spans="1:8" ht="20">
      <c r="B2" s="355" t="str">
        <f>'Task Order Setup'!C2</f>
        <v>Agreement No. 47557A, Project No. 600</v>
      </c>
      <c r="C2" s="79"/>
      <c r="D2" s="79"/>
      <c r="E2" s="152"/>
      <c r="F2" s="153"/>
      <c r="G2" s="150"/>
      <c r="H2" s="83"/>
    </row>
    <row r="3" spans="1:8" ht="19">
      <c r="B3" s="358" t="str">
        <f>'Task Order Setup'!C3</f>
        <v>Effective Period: 10/01/19-10/31/19</v>
      </c>
      <c r="C3" s="6"/>
      <c r="D3" s="6"/>
      <c r="E3" s="152"/>
      <c r="F3" s="153"/>
      <c r="G3" s="154"/>
      <c r="H3" s="155"/>
    </row>
    <row r="4" spans="1:8" ht="19">
      <c r="A4" s="358"/>
      <c r="B4" s="6"/>
      <c r="C4" s="6"/>
      <c r="D4" s="6"/>
      <c r="E4" s="152"/>
      <c r="F4" s="153"/>
      <c r="G4" s="154"/>
      <c r="H4" s="155"/>
    </row>
    <row r="5" spans="1:8" ht="19">
      <c r="A5" s="360" t="s">
        <v>125</v>
      </c>
      <c r="B5" s="6"/>
      <c r="C5" s="6"/>
      <c r="D5" s="6"/>
      <c r="E5" s="152"/>
      <c r="F5" s="153"/>
      <c r="G5" s="154"/>
      <c r="H5" s="155"/>
    </row>
    <row r="6" spans="1:8" ht="16">
      <c r="A6" s="107"/>
      <c r="B6" s="93"/>
      <c r="C6" s="93"/>
      <c r="D6" s="93"/>
      <c r="E6" s="385"/>
      <c r="F6" s="386"/>
      <c r="G6" s="262"/>
      <c r="H6" s="156"/>
    </row>
    <row r="7" spans="1:8" ht="12.75" customHeight="1">
      <c r="A7" s="361" t="str">
        <f>'Task Order Setup'!A7</f>
        <v>Subtask No. 1</v>
      </c>
      <c r="B7" s="115" t="str">
        <f>VLOOKUP($A7,'Task Order Setup'!$A$6:$C$22,3,FALSE)</f>
        <v>Consulting Services</v>
      </c>
      <c r="C7" s="362">
        <f t="shared" ref="C7:C15" si="0">SUMIFS($G:$G,$D:$D,$A7)</f>
        <v>500</v>
      </c>
      <c r="D7" s="157"/>
      <c r="E7" s="158"/>
      <c r="F7" s="160"/>
      <c r="G7" s="387"/>
      <c r="H7" s="159"/>
    </row>
    <row r="8" spans="1:8" ht="12.75" customHeight="1">
      <c r="A8" s="361" t="str">
        <f>'Task Order Setup'!A8</f>
        <v>Subtask No. 2</v>
      </c>
      <c r="B8" s="105" t="str">
        <f>VLOOKUP($A8,'Task Order Setup'!$A$6:$C$22,3,FALSE)</f>
        <v>Monitoring Services</v>
      </c>
      <c r="C8" s="362">
        <f t="shared" si="0"/>
        <v>3000</v>
      </c>
      <c r="D8" s="157"/>
      <c r="E8" s="158"/>
      <c r="F8" s="160"/>
      <c r="G8" s="387"/>
      <c r="H8" s="159"/>
    </row>
    <row r="9" spans="1:8" ht="12.75" customHeight="1">
      <c r="A9" s="361" t="str">
        <f>'Task Order Setup'!A9</f>
        <v>Subtask No. 3</v>
      </c>
      <c r="B9" s="105" t="str">
        <f>VLOOKUP($A9,'Task Order Setup'!$A$6:$C$22,3,FALSE)</f>
        <v>Project Management</v>
      </c>
      <c r="C9" s="362">
        <f t="shared" si="0"/>
        <v>0</v>
      </c>
      <c r="D9" s="157"/>
      <c r="E9" s="158"/>
      <c r="F9" s="160"/>
      <c r="G9" s="387"/>
      <c r="H9" s="159"/>
    </row>
    <row r="10" spans="1:8" ht="12.75" customHeight="1">
      <c r="A10" s="361" t="str">
        <f>'Task Order Setup'!A10</f>
        <v>Subtask No. 4</v>
      </c>
      <c r="B10" s="105" t="str">
        <f>VLOOKUP($A10,'Task Order Setup'!$A$6:$C$22,3,FALSE)</f>
        <v>.</v>
      </c>
      <c r="C10" s="362">
        <f t="shared" si="0"/>
        <v>0</v>
      </c>
      <c r="D10" s="157"/>
      <c r="E10" s="158"/>
      <c r="F10" s="161"/>
      <c r="G10" s="378"/>
      <c r="H10" s="159"/>
    </row>
    <row r="11" spans="1:8" ht="12.75" customHeight="1">
      <c r="A11" s="361" t="str">
        <f>'Task Order Setup'!A11</f>
        <v>Subtask No. 5</v>
      </c>
      <c r="B11" s="105" t="str">
        <f>VLOOKUP($A11,'Task Order Setup'!$A$6:$C$22,3,FALSE)</f>
        <v>.</v>
      </c>
      <c r="C11" s="362">
        <f t="shared" si="0"/>
        <v>0</v>
      </c>
      <c r="D11" s="157"/>
      <c r="E11" s="103"/>
      <c r="F11" s="161"/>
      <c r="G11" s="378"/>
      <c r="H11" s="159"/>
    </row>
    <row r="12" spans="1:8" ht="12.75" customHeight="1">
      <c r="A12" s="361" t="str">
        <f>'Task Order Setup'!A12</f>
        <v>Subtask No. 6</v>
      </c>
      <c r="B12" s="105" t="str">
        <f>VLOOKUP($A12,'Task Order Setup'!$A$6:$C$22,3,FALSE)</f>
        <v>.</v>
      </c>
      <c r="C12" s="362">
        <f t="shared" si="0"/>
        <v>0</v>
      </c>
      <c r="D12" s="157"/>
      <c r="E12" s="103"/>
      <c r="F12" s="161"/>
      <c r="G12" s="378"/>
      <c r="H12" s="159"/>
    </row>
    <row r="13" spans="1:8" ht="12.75" customHeight="1">
      <c r="A13" s="361" t="str">
        <f>'Task Order Setup'!A13</f>
        <v>Subtask No. 7</v>
      </c>
      <c r="B13" s="105" t="str">
        <f>VLOOKUP($A13,'Task Order Setup'!$A$6:$C$22,3,FALSE)</f>
        <v>.</v>
      </c>
      <c r="C13" s="362">
        <f t="shared" si="0"/>
        <v>0</v>
      </c>
      <c r="D13" s="157"/>
      <c r="E13" s="103"/>
      <c r="F13" s="161"/>
      <c r="G13" s="378"/>
      <c r="H13" s="159"/>
    </row>
    <row r="14" spans="1:8" ht="12.75" customHeight="1">
      <c r="A14" s="361" t="str">
        <f>'Task Order Setup'!A14</f>
        <v>Subtask No. 8</v>
      </c>
      <c r="B14" s="105" t="str">
        <f>VLOOKUP($A14,'Task Order Setup'!$A$6:$C$22,3,FALSE)</f>
        <v>.</v>
      </c>
      <c r="C14" s="362">
        <f t="shared" si="0"/>
        <v>0</v>
      </c>
      <c r="D14" s="157"/>
      <c r="E14" s="103"/>
      <c r="F14" s="161"/>
      <c r="G14" s="378"/>
      <c r="H14" s="159"/>
    </row>
    <row r="15" spans="1:8" ht="12.75" customHeight="1">
      <c r="A15" s="361" t="str">
        <f>'Task Order Setup'!A15</f>
        <v>Subtask No. 9</v>
      </c>
      <c r="B15" s="105" t="str">
        <f>VLOOKUP($A15,'Task Order Setup'!$A$6:$C$22,3,FALSE)</f>
        <v>.</v>
      </c>
      <c r="C15" s="362">
        <f t="shared" si="0"/>
        <v>0</v>
      </c>
      <c r="D15" s="157"/>
      <c r="E15" s="103"/>
      <c r="F15" s="161"/>
      <c r="G15" s="378"/>
      <c r="H15" s="159"/>
    </row>
    <row r="16" spans="1:8" ht="14" thickBot="1">
      <c r="A16" s="337"/>
      <c r="B16" s="118"/>
      <c r="C16" s="118"/>
      <c r="D16" s="118"/>
      <c r="E16" s="162" t="s">
        <v>0</v>
      </c>
      <c r="F16" s="163"/>
      <c r="G16" s="164"/>
      <c r="H16" s="165"/>
    </row>
    <row r="17" spans="1:8" ht="15" thickTop="1" thickBot="1">
      <c r="A17" s="338" t="s">
        <v>184</v>
      </c>
      <c r="B17" s="133" t="s">
        <v>77</v>
      </c>
      <c r="C17" s="133" t="s">
        <v>78</v>
      </c>
      <c r="D17" s="133" t="s">
        <v>67</v>
      </c>
      <c r="E17" s="133" t="s">
        <v>99</v>
      </c>
      <c r="F17" s="133" t="s">
        <v>65</v>
      </c>
      <c r="G17" s="133" t="s">
        <v>13</v>
      </c>
      <c r="H17" s="166"/>
    </row>
    <row r="18" spans="1:8" ht="14" thickBot="1">
      <c r="A18" s="13">
        <v>1</v>
      </c>
      <c r="B18" s="617" t="str">
        <f>VLOOKUP(D29,'Task Order Setup'!$A$6:$C$23,3,FALSE)</f>
        <v>Consulting Services</v>
      </c>
      <c r="C18" s="55"/>
      <c r="D18" s="45"/>
      <c r="E18" s="54"/>
      <c r="F18" s="53"/>
      <c r="G18" s="348"/>
      <c r="H18" s="167" t="str">
        <f t="shared" ref="H18" si="1">IFERROR(LEFT($A18,FIND(".",$A18)),"")</f>
        <v/>
      </c>
    </row>
    <row r="19" spans="1:8" ht="12" customHeight="1" thickTop="1">
      <c r="A19" s="678">
        <v>1.1000000000000001</v>
      </c>
      <c r="B19" s="247" t="s">
        <v>81</v>
      </c>
      <c r="C19" s="247" t="str">
        <f>IF(B19&lt;&gt;"",VLOOKUP($B19,Rates!$H$7:$I$23,2,FALSE),"")</f>
        <v>Prime</v>
      </c>
      <c r="D19" s="235" t="s">
        <v>249</v>
      </c>
      <c r="E19" s="248">
        <v>1</v>
      </c>
      <c r="F19" s="249">
        <v>500</v>
      </c>
      <c r="G19" s="349">
        <f>IFERROR(E19*F19,0)</f>
        <v>500</v>
      </c>
      <c r="H19" s="167" t="str">
        <f t="shared" ref="H19:H28" si="2">IFERROR(LEFT($A19,FIND(".",$A19)),"")</f>
        <v>1.</v>
      </c>
    </row>
    <row r="20" spans="1:8" ht="12" customHeight="1">
      <c r="A20" s="680">
        <v>1.2</v>
      </c>
      <c r="B20" s="247" t="s">
        <v>79</v>
      </c>
      <c r="C20" s="247" t="str">
        <f>IF(B20&lt;&gt;"",VLOOKUP($B20,Rates!$H$7:$I$23,2,FALSE),"")</f>
        <v>-</v>
      </c>
      <c r="D20" s="235"/>
      <c r="E20" s="250"/>
      <c r="F20" s="249"/>
      <c r="G20" s="349">
        <f t="shared" ref="G20:G28" si="3">IFERROR(E20*F20,0)</f>
        <v>0</v>
      </c>
      <c r="H20" s="167" t="str">
        <f t="shared" si="2"/>
        <v>1.</v>
      </c>
    </row>
    <row r="21" spans="1:8" ht="12" customHeight="1">
      <c r="A21" s="680">
        <v>1.3</v>
      </c>
      <c r="B21" s="247"/>
      <c r="C21" s="247" t="str">
        <f>IF(B21&lt;&gt;"",VLOOKUP($B21,Rates!$H$7:$I$23,2,FALSE),"")</f>
        <v/>
      </c>
      <c r="D21" s="235"/>
      <c r="E21" s="250"/>
      <c r="F21" s="249"/>
      <c r="G21" s="349">
        <f t="shared" si="3"/>
        <v>0</v>
      </c>
      <c r="H21" s="167" t="str">
        <f t="shared" si="2"/>
        <v>1.</v>
      </c>
    </row>
    <row r="22" spans="1:8" ht="12" customHeight="1">
      <c r="A22" s="680">
        <v>1.4</v>
      </c>
      <c r="B22" s="247"/>
      <c r="C22" s="247" t="str">
        <f>IF(B22&lt;&gt;"",VLOOKUP($B22,Rates!$H$7:$I$23,2,FALSE),"")</f>
        <v/>
      </c>
      <c r="D22" s="235"/>
      <c r="E22" s="250"/>
      <c r="F22" s="249"/>
      <c r="G22" s="349">
        <f t="shared" si="3"/>
        <v>0</v>
      </c>
      <c r="H22" s="167" t="str">
        <f t="shared" si="2"/>
        <v>1.</v>
      </c>
    </row>
    <row r="23" spans="1:8" ht="12" customHeight="1">
      <c r="A23" s="680">
        <v>1.5</v>
      </c>
      <c r="B23" s="247"/>
      <c r="C23" s="247" t="str">
        <f>IF(B23&lt;&gt;"",VLOOKUP($B23,Rates!$H$7:$I$23,2,FALSE),"")</f>
        <v/>
      </c>
      <c r="D23" s="235"/>
      <c r="E23" s="250"/>
      <c r="F23" s="249"/>
      <c r="G23" s="349">
        <f>IFERROR(E23*F23,0)</f>
        <v>0</v>
      </c>
      <c r="H23" s="167" t="str">
        <f t="shared" si="2"/>
        <v>1.</v>
      </c>
    </row>
    <row r="24" spans="1:8" ht="12" customHeight="1">
      <c r="A24" s="680">
        <v>1.6</v>
      </c>
      <c r="B24" s="247"/>
      <c r="C24" s="247" t="str">
        <f>IF(B24&lt;&gt;"",VLOOKUP($B24,Rates!$H$7:$I$23,2,FALSE),"")</f>
        <v/>
      </c>
      <c r="D24" s="235"/>
      <c r="E24" s="250"/>
      <c r="F24" s="249"/>
      <c r="G24" s="349">
        <f>IFERROR(E24*F24,0)</f>
        <v>0</v>
      </c>
      <c r="H24" s="167" t="str">
        <f t="shared" si="2"/>
        <v>1.</v>
      </c>
    </row>
    <row r="25" spans="1:8" ht="12" customHeight="1">
      <c r="A25" s="680">
        <v>1.7</v>
      </c>
      <c r="B25" s="247"/>
      <c r="C25" s="247" t="str">
        <f>IF(B25&lt;&gt;"",VLOOKUP($B25,Rates!$H$7:$I$23,2,FALSE),"")</f>
        <v/>
      </c>
      <c r="D25" s="235"/>
      <c r="E25" s="250"/>
      <c r="F25" s="249"/>
      <c r="G25" s="349">
        <f>IFERROR(E25*F25,0)</f>
        <v>0</v>
      </c>
      <c r="H25" s="167" t="str">
        <f t="shared" si="2"/>
        <v>1.</v>
      </c>
    </row>
    <row r="26" spans="1:8" ht="12" customHeight="1">
      <c r="A26" s="680">
        <v>1.8</v>
      </c>
      <c r="B26" s="247"/>
      <c r="C26" s="247" t="str">
        <f>IF(B26&lt;&gt;"",VLOOKUP($B26,Rates!$H$7:$I$23,2,FALSE),"")</f>
        <v/>
      </c>
      <c r="D26" s="235"/>
      <c r="E26" s="250"/>
      <c r="F26" s="249"/>
      <c r="G26" s="349">
        <f>IFERROR(E26*F26,0)</f>
        <v>0</v>
      </c>
      <c r="H26" s="167" t="str">
        <f t="shared" si="2"/>
        <v>1.</v>
      </c>
    </row>
    <row r="27" spans="1:8" ht="12" customHeight="1">
      <c r="A27" s="680">
        <v>1.9</v>
      </c>
      <c r="B27" s="247"/>
      <c r="C27" s="247" t="str">
        <f>IF(B27&lt;&gt;"",VLOOKUP($B27,Rates!$H$7:$I$23,2,FALSE),"")</f>
        <v/>
      </c>
      <c r="D27" s="235"/>
      <c r="E27" s="250"/>
      <c r="F27" s="249"/>
      <c r="G27" s="349">
        <f t="shared" si="3"/>
        <v>0</v>
      </c>
      <c r="H27" s="167" t="str">
        <f t="shared" si="2"/>
        <v>1.</v>
      </c>
    </row>
    <row r="28" spans="1:8" ht="12" customHeight="1">
      <c r="A28" s="679" t="s">
        <v>267</v>
      </c>
      <c r="B28" s="251"/>
      <c r="C28" s="247" t="str">
        <f>IF(B28&lt;&gt;"",VLOOKUP($B28,Rates!$H$7:$I$23,2,FALSE),"")</f>
        <v/>
      </c>
      <c r="D28" s="241"/>
      <c r="E28" s="252"/>
      <c r="F28" s="253"/>
      <c r="G28" s="350">
        <f t="shared" si="3"/>
        <v>0</v>
      </c>
      <c r="H28" s="167" t="str">
        <f t="shared" si="2"/>
        <v>1.</v>
      </c>
    </row>
    <row r="29" spans="1:8" ht="12" customHeight="1" thickBot="1">
      <c r="A29" s="43" t="s">
        <v>1</v>
      </c>
      <c r="B29" s="47"/>
      <c r="C29" s="47"/>
      <c r="D29" s="618" t="str">
        <f>"Subtask No. "&amp;$A18</f>
        <v>Subtask No. 1</v>
      </c>
      <c r="E29" s="254"/>
      <c r="F29" s="255"/>
      <c r="G29" s="351">
        <f>SUM(G19:G28)</f>
        <v>500</v>
      </c>
      <c r="H29" s="167" t="str">
        <f t="shared" ref="H29:H83" si="4">IFERROR(LEFT($A29,FIND(".",$A29)),"")</f>
        <v/>
      </c>
    </row>
    <row r="30" spans="1:8" ht="12" customHeight="1" thickTop="1">
      <c r="A30" s="347"/>
      <c r="B30" s="62"/>
      <c r="C30" s="62"/>
      <c r="D30" s="62"/>
      <c r="E30" s="168"/>
      <c r="F30" s="52"/>
      <c r="G30" s="352"/>
      <c r="H30" s="167" t="str">
        <f t="shared" si="4"/>
        <v/>
      </c>
    </row>
    <row r="31" spans="1:8" ht="14" thickBot="1">
      <c r="A31" s="13">
        <v>2</v>
      </c>
      <c r="B31" s="617" t="str">
        <f>VLOOKUP(D42,'Task Order Setup'!$A$6:$C$23,3,FALSE)</f>
        <v>Monitoring Services</v>
      </c>
      <c r="C31" s="55"/>
      <c r="D31" s="45"/>
      <c r="E31" s="54"/>
      <c r="F31" s="53"/>
      <c r="G31" s="348"/>
      <c r="H31" s="167" t="str">
        <f t="shared" si="4"/>
        <v/>
      </c>
    </row>
    <row r="32" spans="1:8" ht="12" customHeight="1" thickTop="1">
      <c r="A32" s="678" t="s">
        <v>268</v>
      </c>
      <c r="B32" s="247" t="s">
        <v>235</v>
      </c>
      <c r="C32" s="247" t="str">
        <f>IF(B32&lt;&gt;"",VLOOKUP($B32,Rates!$H$7:$I$23,2,FALSE),"")</f>
        <v>OBE</v>
      </c>
      <c r="D32" s="235" t="s">
        <v>266</v>
      </c>
      <c r="E32" s="248">
        <v>2</v>
      </c>
      <c r="F32" s="249">
        <v>1500</v>
      </c>
      <c r="G32" s="349">
        <f>IFERROR(E32*F32,0)</f>
        <v>3000</v>
      </c>
      <c r="H32" s="167" t="str">
        <f t="shared" ref="H32:H41" si="5">IFERROR(LEFT($A32,FIND(".",$A32)),"")</f>
        <v>2.</v>
      </c>
    </row>
    <row r="33" spans="1:8" ht="12" customHeight="1">
      <c r="A33" s="679" t="s">
        <v>269</v>
      </c>
      <c r="B33" s="247" t="s">
        <v>79</v>
      </c>
      <c r="C33" s="247" t="str">
        <f>IF(B33&lt;&gt;"",VLOOKUP($B33,Rates!$H$7:$I$23,2,FALSE),"")</f>
        <v>-</v>
      </c>
      <c r="D33" s="235"/>
      <c r="E33" s="250"/>
      <c r="F33" s="249"/>
      <c r="G33" s="349">
        <f t="shared" ref="G33:G41" si="6">IFERROR(E33*F33,0)</f>
        <v>0</v>
      </c>
      <c r="H33" s="167" t="str">
        <f t="shared" si="5"/>
        <v>2.</v>
      </c>
    </row>
    <row r="34" spans="1:8" ht="12" customHeight="1">
      <c r="A34" s="679" t="s">
        <v>270</v>
      </c>
      <c r="B34" s="247"/>
      <c r="C34" s="247" t="str">
        <f>IF(B34&lt;&gt;"",VLOOKUP($B34,Rates!$H$7:$I$23,2,FALSE),"")</f>
        <v/>
      </c>
      <c r="D34" s="235"/>
      <c r="E34" s="250"/>
      <c r="F34" s="249"/>
      <c r="G34" s="349">
        <f t="shared" si="6"/>
        <v>0</v>
      </c>
      <c r="H34" s="167" t="str">
        <f t="shared" si="5"/>
        <v>2.</v>
      </c>
    </row>
    <row r="35" spans="1:8" ht="12" customHeight="1">
      <c r="A35" s="679" t="s">
        <v>271</v>
      </c>
      <c r="B35" s="247"/>
      <c r="C35" s="247" t="str">
        <f>IF(B35&lt;&gt;"",VLOOKUP($B35,Rates!$H$7:$I$23,2,FALSE),"")</f>
        <v/>
      </c>
      <c r="D35" s="235"/>
      <c r="E35" s="250"/>
      <c r="F35" s="249"/>
      <c r="G35" s="349">
        <f t="shared" si="6"/>
        <v>0</v>
      </c>
      <c r="H35" s="167" t="str">
        <f t="shared" si="5"/>
        <v>2.</v>
      </c>
    </row>
    <row r="36" spans="1:8" ht="12" customHeight="1">
      <c r="A36" s="679" t="s">
        <v>272</v>
      </c>
      <c r="B36" s="247"/>
      <c r="C36" s="247" t="str">
        <f>IF(B36&lt;&gt;"",VLOOKUP($B36,Rates!$H$7:$I$23,2,FALSE),"")</f>
        <v/>
      </c>
      <c r="D36" s="235"/>
      <c r="E36" s="250"/>
      <c r="F36" s="249"/>
      <c r="G36" s="349">
        <f t="shared" si="6"/>
        <v>0</v>
      </c>
      <c r="H36" s="167" t="str">
        <f t="shared" si="5"/>
        <v>2.</v>
      </c>
    </row>
    <row r="37" spans="1:8" ht="12" customHeight="1">
      <c r="A37" s="679" t="s">
        <v>273</v>
      </c>
      <c r="B37" s="247"/>
      <c r="C37" s="247" t="str">
        <f>IF(B37&lt;&gt;"",VLOOKUP($B37,Rates!$H$7:$I$23,2,FALSE),"")</f>
        <v/>
      </c>
      <c r="D37" s="235"/>
      <c r="E37" s="250"/>
      <c r="F37" s="249"/>
      <c r="G37" s="349">
        <f t="shared" si="6"/>
        <v>0</v>
      </c>
      <c r="H37" s="167" t="str">
        <f t="shared" si="5"/>
        <v>2.</v>
      </c>
    </row>
    <row r="38" spans="1:8" ht="12" customHeight="1">
      <c r="A38" s="679" t="s">
        <v>274</v>
      </c>
      <c r="B38" s="247"/>
      <c r="C38" s="247" t="str">
        <f>IF(B38&lt;&gt;"",VLOOKUP($B38,Rates!$H$7:$I$23,2,FALSE),"")</f>
        <v/>
      </c>
      <c r="D38" s="235"/>
      <c r="E38" s="250"/>
      <c r="F38" s="256"/>
      <c r="G38" s="349">
        <f t="shared" si="6"/>
        <v>0</v>
      </c>
      <c r="H38" s="167" t="str">
        <f t="shared" si="5"/>
        <v>2.</v>
      </c>
    </row>
    <row r="39" spans="1:8" ht="12" customHeight="1">
      <c r="A39" s="679" t="s">
        <v>275</v>
      </c>
      <c r="B39" s="247"/>
      <c r="C39" s="247" t="str">
        <f>IF(B39&lt;&gt;"",VLOOKUP($B39,Rates!$H$7:$I$23,2,FALSE),"")</f>
        <v/>
      </c>
      <c r="D39" s="235"/>
      <c r="E39" s="250"/>
      <c r="F39" s="257"/>
      <c r="G39" s="349">
        <f t="shared" si="6"/>
        <v>0</v>
      </c>
      <c r="H39" s="167" t="str">
        <f t="shared" si="5"/>
        <v>2.</v>
      </c>
    </row>
    <row r="40" spans="1:8" ht="12" customHeight="1">
      <c r="A40" s="679" t="s">
        <v>276</v>
      </c>
      <c r="B40" s="247"/>
      <c r="C40" s="247" t="str">
        <f>IF(B40&lt;&gt;"",VLOOKUP($B40,Rates!$H$7:$I$23,2,FALSE),"")</f>
        <v/>
      </c>
      <c r="D40" s="235"/>
      <c r="E40" s="250"/>
      <c r="F40" s="257"/>
      <c r="G40" s="349">
        <f t="shared" si="6"/>
        <v>0</v>
      </c>
      <c r="H40" s="167" t="str">
        <f t="shared" si="5"/>
        <v>2.</v>
      </c>
    </row>
    <row r="41" spans="1:8" ht="12" customHeight="1">
      <c r="A41" s="679" t="s">
        <v>277</v>
      </c>
      <c r="B41" s="251"/>
      <c r="C41" s="247" t="str">
        <f>IF(B41&lt;&gt;"",VLOOKUP($B41,Rates!$H$7:$I$23,2,FALSE),"")</f>
        <v/>
      </c>
      <c r="D41" s="241"/>
      <c r="E41" s="252"/>
      <c r="F41" s="253"/>
      <c r="G41" s="349">
        <f t="shared" si="6"/>
        <v>0</v>
      </c>
      <c r="H41" s="167" t="str">
        <f t="shared" si="5"/>
        <v>2.</v>
      </c>
    </row>
    <row r="42" spans="1:8" ht="12" customHeight="1" thickBot="1">
      <c r="A42" s="43" t="s">
        <v>1</v>
      </c>
      <c r="B42" s="47"/>
      <c r="C42" s="47"/>
      <c r="D42" s="618" t="str">
        <f>"Subtask No. "&amp;$A31</f>
        <v>Subtask No. 2</v>
      </c>
      <c r="E42" s="254"/>
      <c r="F42" s="255"/>
      <c r="G42" s="351">
        <f>SUM(G32:G41)</f>
        <v>3000</v>
      </c>
      <c r="H42" s="167" t="str">
        <f t="shared" si="4"/>
        <v/>
      </c>
    </row>
    <row r="43" spans="1:8" ht="12" customHeight="1" thickTop="1">
      <c r="A43" s="347"/>
      <c r="B43" s="62"/>
      <c r="C43" s="62"/>
      <c r="D43" s="62"/>
      <c r="E43" s="168"/>
      <c r="F43" s="52"/>
      <c r="G43" s="352"/>
      <c r="H43" s="167" t="str">
        <f t="shared" si="4"/>
        <v/>
      </c>
    </row>
    <row r="44" spans="1:8" ht="12" customHeight="1" thickBot="1">
      <c r="A44" s="13">
        <v>3</v>
      </c>
      <c r="B44" s="617" t="str">
        <f>VLOOKUP(D55,'Task Order Setup'!$A$6:$C$23,3,FALSE)</f>
        <v>Project Management</v>
      </c>
      <c r="C44" s="55"/>
      <c r="D44" s="45"/>
      <c r="E44" s="54"/>
      <c r="F44" s="53"/>
      <c r="G44" s="348"/>
      <c r="H44" s="167" t="str">
        <f t="shared" si="4"/>
        <v/>
      </c>
    </row>
    <row r="45" spans="1:8" ht="12" customHeight="1" thickTop="1">
      <c r="A45" s="686" t="s">
        <v>278</v>
      </c>
      <c r="B45" s="247" t="s">
        <v>79</v>
      </c>
      <c r="C45" s="247" t="str">
        <f>IF(B45&lt;&gt;"",VLOOKUP($B45,Rates!$H$7:$I$23,2,FALSE),"")</f>
        <v>-</v>
      </c>
      <c r="D45" s="235"/>
      <c r="E45" s="551" t="s">
        <v>0</v>
      </c>
      <c r="F45" s="552" t="s">
        <v>0</v>
      </c>
      <c r="G45" s="349">
        <f>IFERROR(E45*F45,0)</f>
        <v>0</v>
      </c>
      <c r="H45" s="167" t="str">
        <f t="shared" ref="H45:H54" si="7">IFERROR(LEFT($A45,FIND(".",$A45)),"")</f>
        <v>3.</v>
      </c>
    </row>
    <row r="46" spans="1:8" ht="12" customHeight="1">
      <c r="A46" s="685" t="s">
        <v>279</v>
      </c>
      <c r="B46" s="247"/>
      <c r="C46" s="247" t="str">
        <f>IF(B46&lt;&gt;"",VLOOKUP($B46,Rates!$H$7:$I$23,2,FALSE),"")</f>
        <v/>
      </c>
      <c r="D46" s="235"/>
      <c r="E46" s="250"/>
      <c r="F46" s="249"/>
      <c r="G46" s="349">
        <f t="shared" ref="G46:G54" si="8">IFERROR(E46*F46,0)</f>
        <v>0</v>
      </c>
      <c r="H46" s="167" t="str">
        <f t="shared" si="7"/>
        <v>3.</v>
      </c>
    </row>
    <row r="47" spans="1:8" ht="12" customHeight="1">
      <c r="A47" s="685" t="s">
        <v>280</v>
      </c>
      <c r="B47" s="247"/>
      <c r="C47" s="247" t="str">
        <f>IF(B47&lt;&gt;"",VLOOKUP($B47,Rates!$H$7:$I$23,2,FALSE),"")</f>
        <v/>
      </c>
      <c r="D47" s="235"/>
      <c r="E47" s="250"/>
      <c r="F47" s="249"/>
      <c r="G47" s="349">
        <f t="shared" si="8"/>
        <v>0</v>
      </c>
      <c r="H47" s="167" t="str">
        <f t="shared" si="7"/>
        <v>3.</v>
      </c>
    </row>
    <row r="48" spans="1:8" ht="12" customHeight="1">
      <c r="A48" s="685" t="s">
        <v>281</v>
      </c>
      <c r="B48" s="247"/>
      <c r="C48" s="247" t="str">
        <f>IF(B48&lt;&gt;"",VLOOKUP($B48,Rates!$H$7:$I$23,2,FALSE),"")</f>
        <v/>
      </c>
      <c r="D48" s="235"/>
      <c r="E48" s="250"/>
      <c r="F48" s="249"/>
      <c r="G48" s="349">
        <f t="shared" si="8"/>
        <v>0</v>
      </c>
      <c r="H48" s="167" t="str">
        <f t="shared" si="7"/>
        <v>3.</v>
      </c>
    </row>
    <row r="49" spans="1:8" ht="12" customHeight="1">
      <c r="A49" s="685" t="s">
        <v>282</v>
      </c>
      <c r="B49" s="247"/>
      <c r="C49" s="247" t="str">
        <f>IF(B49&lt;&gt;"",VLOOKUP($B49,Rates!$H$7:$I$23,2,FALSE),"")</f>
        <v/>
      </c>
      <c r="D49" s="235"/>
      <c r="E49" s="250"/>
      <c r="F49" s="249"/>
      <c r="G49" s="349">
        <f t="shared" si="8"/>
        <v>0</v>
      </c>
      <c r="H49" s="167" t="str">
        <f t="shared" si="7"/>
        <v>3.</v>
      </c>
    </row>
    <row r="50" spans="1:8" ht="12" customHeight="1">
      <c r="A50" s="685" t="s">
        <v>283</v>
      </c>
      <c r="B50" s="247"/>
      <c r="C50" s="247" t="str">
        <f>IF(B50&lt;&gt;"",VLOOKUP($B50,Rates!$H$7:$I$23,2,FALSE),"")</f>
        <v/>
      </c>
      <c r="D50" s="235"/>
      <c r="E50" s="250"/>
      <c r="F50" s="249"/>
      <c r="G50" s="349">
        <f t="shared" si="8"/>
        <v>0</v>
      </c>
      <c r="H50" s="167" t="str">
        <f t="shared" si="7"/>
        <v>3.</v>
      </c>
    </row>
    <row r="51" spans="1:8" ht="12" customHeight="1">
      <c r="A51" s="685" t="s">
        <v>284</v>
      </c>
      <c r="B51" s="247"/>
      <c r="C51" s="247" t="str">
        <f>IF(B51&lt;&gt;"",VLOOKUP($B51,Rates!$H$7:$I$23,2,FALSE),"")</f>
        <v/>
      </c>
      <c r="D51" s="235"/>
      <c r="E51" s="250"/>
      <c r="F51" s="256"/>
      <c r="G51" s="349">
        <f t="shared" si="8"/>
        <v>0</v>
      </c>
      <c r="H51" s="167" t="str">
        <f t="shared" si="7"/>
        <v>3.</v>
      </c>
    </row>
    <row r="52" spans="1:8" ht="12" customHeight="1">
      <c r="A52" s="685" t="s">
        <v>285</v>
      </c>
      <c r="B52" s="247"/>
      <c r="C52" s="247" t="str">
        <f>IF(B52&lt;&gt;"",VLOOKUP($B52,Rates!$H$7:$I$23,2,FALSE),"")</f>
        <v/>
      </c>
      <c r="D52" s="235"/>
      <c r="E52" s="250"/>
      <c r="F52" s="257"/>
      <c r="G52" s="349">
        <f t="shared" si="8"/>
        <v>0</v>
      </c>
      <c r="H52" s="167" t="str">
        <f t="shared" si="7"/>
        <v>3.</v>
      </c>
    </row>
    <row r="53" spans="1:8" ht="12" customHeight="1">
      <c r="A53" s="685" t="s">
        <v>286</v>
      </c>
      <c r="B53" s="247"/>
      <c r="C53" s="247" t="str">
        <f>IF(B53&lt;&gt;"",VLOOKUP($B53,Rates!$H$7:$I$23,2,FALSE),"")</f>
        <v/>
      </c>
      <c r="D53" s="235"/>
      <c r="E53" s="250"/>
      <c r="F53" s="257"/>
      <c r="G53" s="349">
        <f t="shared" si="8"/>
        <v>0</v>
      </c>
      <c r="H53" s="167" t="str">
        <f t="shared" si="7"/>
        <v>3.</v>
      </c>
    </row>
    <row r="54" spans="1:8" ht="12" customHeight="1">
      <c r="A54" s="687" t="s">
        <v>287</v>
      </c>
      <c r="B54" s="251"/>
      <c r="C54" s="247" t="str">
        <f>IF(B54&lt;&gt;"",VLOOKUP($B54,Rates!$H$7:$I$23,2,FALSE),"")</f>
        <v/>
      </c>
      <c r="D54" s="241"/>
      <c r="E54" s="252"/>
      <c r="F54" s="253"/>
      <c r="G54" s="349">
        <f t="shared" si="8"/>
        <v>0</v>
      </c>
      <c r="H54" s="167" t="str">
        <f t="shared" si="7"/>
        <v>3.</v>
      </c>
    </row>
    <row r="55" spans="1:8" ht="12" customHeight="1" thickBot="1">
      <c r="A55" s="43" t="s">
        <v>1</v>
      </c>
      <c r="B55" s="47"/>
      <c r="C55" s="47"/>
      <c r="D55" s="618" t="str">
        <f>"Subtask No. "&amp;$A44</f>
        <v>Subtask No. 3</v>
      </c>
      <c r="E55" s="254"/>
      <c r="F55" s="255"/>
      <c r="G55" s="351">
        <f>SUM(G45:G54)</f>
        <v>0</v>
      </c>
      <c r="H55" s="167" t="str">
        <f t="shared" si="4"/>
        <v/>
      </c>
    </row>
    <row r="56" spans="1:8" ht="12" customHeight="1" thickTop="1">
      <c r="A56" s="347"/>
      <c r="B56" s="62"/>
      <c r="C56" s="62"/>
      <c r="D56" s="62"/>
      <c r="E56" s="168"/>
      <c r="F56" s="52"/>
      <c r="G56" s="352"/>
      <c r="H56" s="167" t="str">
        <f t="shared" si="4"/>
        <v/>
      </c>
    </row>
    <row r="57" spans="1:8" ht="12" customHeight="1" thickBot="1">
      <c r="A57" s="13">
        <v>4</v>
      </c>
      <c r="B57" s="617" t="str">
        <f>VLOOKUP(D68,'Task Order Setup'!$A$6:$C$23,3,FALSE)</f>
        <v>.</v>
      </c>
      <c r="C57" s="55"/>
      <c r="D57" s="45"/>
      <c r="E57" s="54"/>
      <c r="F57" s="53"/>
      <c r="G57" s="348"/>
      <c r="H57" s="167" t="str">
        <f t="shared" si="4"/>
        <v/>
      </c>
    </row>
    <row r="58" spans="1:8" ht="12" customHeight="1" thickTop="1">
      <c r="A58" s="686" t="s">
        <v>288</v>
      </c>
      <c r="B58" s="247"/>
      <c r="C58" s="247" t="str">
        <f>IF(B58&lt;&gt;"",VLOOKUP($B58,Rates!$H$7:$I$23,2,FALSE),"")</f>
        <v/>
      </c>
      <c r="D58" s="235"/>
      <c r="E58" s="248">
        <v>0</v>
      </c>
      <c r="F58" s="249"/>
      <c r="G58" s="349">
        <f>IFERROR(E58*F58,0)</f>
        <v>0</v>
      </c>
      <c r="H58" s="167" t="str">
        <f t="shared" ref="H58:H67" si="9">IFERROR(LEFT($A58,FIND(".",$A58)),"")</f>
        <v>4.</v>
      </c>
    </row>
    <row r="59" spans="1:8" ht="12" customHeight="1">
      <c r="A59" s="685" t="s">
        <v>289</v>
      </c>
      <c r="B59" s="247"/>
      <c r="C59" s="247" t="str">
        <f>IF(B59&lt;&gt;"",VLOOKUP($B59,Rates!$H$7:$I$23,2,FALSE),"")</f>
        <v/>
      </c>
      <c r="D59" s="235"/>
      <c r="E59" s="250"/>
      <c r="F59" s="249"/>
      <c r="G59" s="349">
        <f t="shared" ref="G59:G67" si="10">IFERROR(E59*F59,0)</f>
        <v>0</v>
      </c>
      <c r="H59" s="167" t="str">
        <f t="shared" si="9"/>
        <v>4.</v>
      </c>
    </row>
    <row r="60" spans="1:8" ht="12" customHeight="1">
      <c r="A60" s="685" t="s">
        <v>290</v>
      </c>
      <c r="B60" s="247"/>
      <c r="C60" s="247" t="str">
        <f>IF(B60&lt;&gt;"",VLOOKUP($B60,Rates!$H$7:$I$23,2,FALSE),"")</f>
        <v/>
      </c>
      <c r="D60" s="235"/>
      <c r="E60" s="250"/>
      <c r="F60" s="249"/>
      <c r="G60" s="349">
        <f t="shared" si="10"/>
        <v>0</v>
      </c>
      <c r="H60" s="167" t="str">
        <f t="shared" si="9"/>
        <v>4.</v>
      </c>
    </row>
    <row r="61" spans="1:8" ht="12" customHeight="1">
      <c r="A61" s="685" t="s">
        <v>291</v>
      </c>
      <c r="B61" s="247"/>
      <c r="C61" s="247" t="str">
        <f>IF(B61&lt;&gt;"",VLOOKUP($B61,Rates!$H$7:$I$23,2,FALSE),"")</f>
        <v/>
      </c>
      <c r="D61" s="235"/>
      <c r="E61" s="250"/>
      <c r="F61" s="249"/>
      <c r="G61" s="349">
        <f t="shared" si="10"/>
        <v>0</v>
      </c>
      <c r="H61" s="167" t="str">
        <f t="shared" si="9"/>
        <v>4.</v>
      </c>
    </row>
    <row r="62" spans="1:8" ht="12" customHeight="1">
      <c r="A62" s="685" t="s">
        <v>292</v>
      </c>
      <c r="B62" s="247"/>
      <c r="C62" s="247" t="str">
        <f>IF(B62&lt;&gt;"",VLOOKUP($B62,Rates!$H$7:$I$23,2,FALSE),"")</f>
        <v/>
      </c>
      <c r="D62" s="235"/>
      <c r="E62" s="250"/>
      <c r="F62" s="249"/>
      <c r="G62" s="349">
        <f t="shared" si="10"/>
        <v>0</v>
      </c>
      <c r="H62" s="167" t="str">
        <f t="shared" si="9"/>
        <v>4.</v>
      </c>
    </row>
    <row r="63" spans="1:8" ht="12" customHeight="1">
      <c r="A63" s="685" t="s">
        <v>293</v>
      </c>
      <c r="B63" s="247"/>
      <c r="C63" s="247" t="str">
        <f>IF(B63&lt;&gt;"",VLOOKUP($B63,Rates!$H$7:$I$23,2,FALSE),"")</f>
        <v/>
      </c>
      <c r="D63" s="235"/>
      <c r="E63" s="250"/>
      <c r="F63" s="249"/>
      <c r="G63" s="349">
        <f t="shared" si="10"/>
        <v>0</v>
      </c>
      <c r="H63" s="167" t="str">
        <f t="shared" si="9"/>
        <v>4.</v>
      </c>
    </row>
    <row r="64" spans="1:8" ht="12" customHeight="1">
      <c r="A64" s="685" t="s">
        <v>294</v>
      </c>
      <c r="B64" s="247"/>
      <c r="C64" s="247" t="str">
        <f>IF(B64&lt;&gt;"",VLOOKUP($B64,Rates!$H$7:$I$23,2,FALSE),"")</f>
        <v/>
      </c>
      <c r="D64" s="235"/>
      <c r="E64" s="250"/>
      <c r="F64" s="249"/>
      <c r="G64" s="349">
        <f t="shared" si="10"/>
        <v>0</v>
      </c>
      <c r="H64" s="167" t="str">
        <f t="shared" si="9"/>
        <v>4.</v>
      </c>
    </row>
    <row r="65" spans="1:8" ht="12" customHeight="1">
      <c r="A65" s="685" t="s">
        <v>295</v>
      </c>
      <c r="B65" s="247"/>
      <c r="C65" s="247" t="str">
        <f>IF(B65&lt;&gt;"",VLOOKUP($B65,Rates!$H$7:$I$23,2,FALSE),"")</f>
        <v/>
      </c>
      <c r="D65" s="235"/>
      <c r="E65" s="250"/>
      <c r="F65" s="257"/>
      <c r="G65" s="349">
        <f>IFERROR(E65*F65,0)</f>
        <v>0</v>
      </c>
      <c r="H65" s="167" t="str">
        <f t="shared" si="9"/>
        <v>4.</v>
      </c>
    </row>
    <row r="66" spans="1:8" ht="12" customHeight="1">
      <c r="A66" s="685" t="s">
        <v>296</v>
      </c>
      <c r="B66" s="247"/>
      <c r="C66" s="247" t="str">
        <f>IF(B66&lt;&gt;"",VLOOKUP($B66,Rates!$H$7:$I$23,2,FALSE),"")</f>
        <v/>
      </c>
      <c r="D66" s="235"/>
      <c r="E66" s="250"/>
      <c r="F66" s="257"/>
      <c r="G66" s="349">
        <f t="shared" si="10"/>
        <v>0</v>
      </c>
      <c r="H66" s="167" t="str">
        <f t="shared" si="9"/>
        <v>4.</v>
      </c>
    </row>
    <row r="67" spans="1:8" ht="12" customHeight="1">
      <c r="A67" s="687" t="s">
        <v>297</v>
      </c>
      <c r="B67" s="251"/>
      <c r="C67" s="247" t="str">
        <f>IF(B67&lt;&gt;"",VLOOKUP($B67,Rates!$H$7:$I$23,2,FALSE),"")</f>
        <v/>
      </c>
      <c r="D67" s="241"/>
      <c r="E67" s="252"/>
      <c r="F67" s="253"/>
      <c r="G67" s="349">
        <f t="shared" si="10"/>
        <v>0</v>
      </c>
      <c r="H67" s="167" t="str">
        <f t="shared" si="9"/>
        <v>4.</v>
      </c>
    </row>
    <row r="68" spans="1:8" ht="12" customHeight="1" thickBot="1">
      <c r="A68" s="43" t="s">
        <v>1</v>
      </c>
      <c r="B68" s="47"/>
      <c r="C68" s="47"/>
      <c r="D68" s="618" t="str">
        <f>"Subtask No. "&amp;$A57</f>
        <v>Subtask No. 4</v>
      </c>
      <c r="E68" s="254"/>
      <c r="F68" s="255"/>
      <c r="G68" s="351">
        <f>SUM(G58:G67)</f>
        <v>0</v>
      </c>
      <c r="H68" s="167" t="str">
        <f t="shared" si="4"/>
        <v/>
      </c>
    </row>
    <row r="69" spans="1:8" ht="12" customHeight="1" thickTop="1">
      <c r="A69" s="347"/>
      <c r="B69" s="62"/>
      <c r="C69" s="62"/>
      <c r="D69" s="62"/>
      <c r="E69" s="168"/>
      <c r="F69" s="52"/>
      <c r="G69" s="352"/>
      <c r="H69" s="167" t="str">
        <f t="shared" si="4"/>
        <v/>
      </c>
    </row>
    <row r="70" spans="1:8" ht="12" customHeight="1" thickBot="1">
      <c r="A70" s="13">
        <v>5</v>
      </c>
      <c r="B70" s="617" t="str">
        <f>VLOOKUP(D81,'Task Order Setup'!$A$6:$C$23,3,FALSE)</f>
        <v>.</v>
      </c>
      <c r="C70" s="55"/>
      <c r="D70" s="45"/>
      <c r="E70" s="54"/>
      <c r="F70" s="53"/>
      <c r="G70" s="348"/>
      <c r="H70" s="167" t="str">
        <f t="shared" si="4"/>
        <v/>
      </c>
    </row>
    <row r="71" spans="1:8" ht="12" customHeight="1" thickTop="1">
      <c r="A71" s="686" t="s">
        <v>298</v>
      </c>
      <c r="B71" s="247"/>
      <c r="C71" s="247" t="str">
        <f>IF(B71&lt;&gt;"",VLOOKUP($B71,Rates!$H$7:$I$23,2,FALSE),"")</f>
        <v/>
      </c>
      <c r="D71" s="235" t="s">
        <v>0</v>
      </c>
      <c r="E71" s="248">
        <v>0</v>
      </c>
      <c r="F71" s="249" t="s">
        <v>0</v>
      </c>
      <c r="G71" s="349">
        <f>IFERROR(E71*F71,0)</f>
        <v>0</v>
      </c>
      <c r="H71" s="167" t="str">
        <f t="shared" ref="H71:H80" si="11">IFERROR(LEFT($A71,FIND(".",$A71)),"")</f>
        <v>5.</v>
      </c>
    </row>
    <row r="72" spans="1:8" ht="12" customHeight="1">
      <c r="A72" s="685" t="s">
        <v>299</v>
      </c>
      <c r="B72" s="247"/>
      <c r="C72" s="247" t="str">
        <f>IF(B72&lt;&gt;"",VLOOKUP($B72,Rates!$H$7:$I$23,2,FALSE),"")</f>
        <v/>
      </c>
      <c r="D72" s="235"/>
      <c r="E72" s="250"/>
      <c r="F72" s="249"/>
      <c r="G72" s="349">
        <f t="shared" ref="G72:G80" si="12">IFERROR(E72*F72,0)</f>
        <v>0</v>
      </c>
      <c r="H72" s="167" t="str">
        <f t="shared" si="11"/>
        <v>5.</v>
      </c>
    </row>
    <row r="73" spans="1:8" ht="12" customHeight="1">
      <c r="A73" s="685" t="s">
        <v>300</v>
      </c>
      <c r="B73" s="247"/>
      <c r="C73" s="247" t="str">
        <f>IF(B73&lt;&gt;"",VLOOKUP($B73,Rates!$H$7:$I$23,2,FALSE),"")</f>
        <v/>
      </c>
      <c r="D73" s="235"/>
      <c r="E73" s="250"/>
      <c r="F73" s="249"/>
      <c r="G73" s="349">
        <f t="shared" si="12"/>
        <v>0</v>
      </c>
      <c r="H73" s="167" t="str">
        <f t="shared" si="11"/>
        <v>5.</v>
      </c>
    </row>
    <row r="74" spans="1:8" ht="12" customHeight="1">
      <c r="A74" s="685" t="s">
        <v>301</v>
      </c>
      <c r="B74" s="247"/>
      <c r="C74" s="247" t="str">
        <f>IF(B74&lt;&gt;"",VLOOKUP($B74,Rates!$H$7:$I$23,2,FALSE),"")</f>
        <v/>
      </c>
      <c r="D74" s="235"/>
      <c r="E74" s="250"/>
      <c r="F74" s="249"/>
      <c r="G74" s="349">
        <f t="shared" si="12"/>
        <v>0</v>
      </c>
      <c r="H74" s="167" t="str">
        <f t="shared" si="11"/>
        <v>5.</v>
      </c>
    </row>
    <row r="75" spans="1:8" ht="12" customHeight="1">
      <c r="A75" s="685" t="s">
        <v>302</v>
      </c>
      <c r="B75" s="247"/>
      <c r="C75" s="247" t="str">
        <f>IF(B75&lt;&gt;"",VLOOKUP($B75,Rates!$H$7:$I$23,2,FALSE),"")</f>
        <v/>
      </c>
      <c r="D75" s="235"/>
      <c r="E75" s="250"/>
      <c r="F75" s="249"/>
      <c r="G75" s="349">
        <f t="shared" si="12"/>
        <v>0</v>
      </c>
      <c r="H75" s="167" t="str">
        <f t="shared" si="11"/>
        <v>5.</v>
      </c>
    </row>
    <row r="76" spans="1:8" ht="12" customHeight="1">
      <c r="A76" s="685" t="s">
        <v>303</v>
      </c>
      <c r="B76" s="247"/>
      <c r="C76" s="247" t="str">
        <f>IF(B76&lt;&gt;"",VLOOKUP($B76,Rates!$H$7:$I$23,2,FALSE),"")</f>
        <v/>
      </c>
      <c r="D76" s="235"/>
      <c r="E76" s="250"/>
      <c r="F76" s="249"/>
      <c r="G76" s="349">
        <f t="shared" si="12"/>
        <v>0</v>
      </c>
      <c r="H76" s="167" t="str">
        <f t="shared" si="11"/>
        <v>5.</v>
      </c>
    </row>
    <row r="77" spans="1:8" ht="12" customHeight="1">
      <c r="A77" s="685" t="s">
        <v>304</v>
      </c>
      <c r="B77" s="247"/>
      <c r="C77" s="247" t="str">
        <f>IF(B77&lt;&gt;"",VLOOKUP($B77,Rates!$H$7:$I$23,2,FALSE),"")</f>
        <v/>
      </c>
      <c r="D77" s="235"/>
      <c r="E77" s="250"/>
      <c r="F77" s="256"/>
      <c r="G77" s="349">
        <f t="shared" si="12"/>
        <v>0</v>
      </c>
      <c r="H77" s="167" t="str">
        <f t="shared" si="11"/>
        <v>5.</v>
      </c>
    </row>
    <row r="78" spans="1:8" ht="12" customHeight="1">
      <c r="A78" s="685" t="s">
        <v>305</v>
      </c>
      <c r="B78" s="247"/>
      <c r="C78" s="247" t="str">
        <f>IF(B78&lt;&gt;"",VLOOKUP($B78,Rates!$H$7:$I$23,2,FALSE),"")</f>
        <v/>
      </c>
      <c r="D78" s="235"/>
      <c r="E78" s="250"/>
      <c r="F78" s="257"/>
      <c r="G78" s="349">
        <f>IFERROR(E78*F78,0)</f>
        <v>0</v>
      </c>
      <c r="H78" s="167" t="str">
        <f t="shared" si="11"/>
        <v>5.</v>
      </c>
    </row>
    <row r="79" spans="1:8" ht="12" customHeight="1">
      <c r="A79" s="685" t="s">
        <v>306</v>
      </c>
      <c r="B79" s="247"/>
      <c r="C79" s="247" t="str">
        <f>IF(B79&lt;&gt;"",VLOOKUP($B79,Rates!$H$7:$I$23,2,FALSE),"")</f>
        <v/>
      </c>
      <c r="D79" s="235"/>
      <c r="E79" s="250"/>
      <c r="F79" s="257"/>
      <c r="G79" s="349">
        <f t="shared" si="12"/>
        <v>0</v>
      </c>
      <c r="H79" s="167" t="str">
        <f t="shared" si="11"/>
        <v>5.</v>
      </c>
    </row>
    <row r="80" spans="1:8" ht="12" customHeight="1">
      <c r="A80" s="687" t="s">
        <v>307</v>
      </c>
      <c r="B80" s="251"/>
      <c r="C80" s="247" t="str">
        <f>IF(B80&lt;&gt;"",VLOOKUP($B80,Rates!$H$7:$I$23,2,FALSE),"")</f>
        <v/>
      </c>
      <c r="D80" s="241"/>
      <c r="E80" s="252"/>
      <c r="F80" s="253"/>
      <c r="G80" s="349">
        <f t="shared" si="12"/>
        <v>0</v>
      </c>
      <c r="H80" s="167" t="str">
        <f t="shared" si="11"/>
        <v>5.</v>
      </c>
    </row>
    <row r="81" spans="1:8" ht="12" customHeight="1" thickBot="1">
      <c r="A81" s="43" t="s">
        <v>1</v>
      </c>
      <c r="B81" s="47"/>
      <c r="C81" s="47"/>
      <c r="D81" s="618" t="str">
        <f>"Subtask No. "&amp;$A70</f>
        <v>Subtask No. 5</v>
      </c>
      <c r="E81" s="254"/>
      <c r="F81" s="255"/>
      <c r="G81" s="351">
        <f>SUM(G71:G80)</f>
        <v>0</v>
      </c>
      <c r="H81" s="167" t="str">
        <f t="shared" si="4"/>
        <v/>
      </c>
    </row>
    <row r="82" spans="1:8" ht="12" customHeight="1" thickTop="1">
      <c r="A82" s="347"/>
      <c r="B82" s="62"/>
      <c r="C82" s="62"/>
      <c r="D82" s="62"/>
      <c r="E82" s="168"/>
      <c r="F82" s="52"/>
      <c r="G82" s="352"/>
      <c r="H82" s="167" t="str">
        <f t="shared" si="4"/>
        <v/>
      </c>
    </row>
    <row r="83" spans="1:8" ht="12" customHeight="1" thickBot="1">
      <c r="A83" s="13">
        <v>6</v>
      </c>
      <c r="B83" s="617" t="str">
        <f>VLOOKUP(D94,'Task Order Setup'!$A$6:$C$23,3,FALSE)</f>
        <v>.</v>
      </c>
      <c r="C83" s="55"/>
      <c r="D83" s="45"/>
      <c r="E83" s="54"/>
      <c r="F83" s="53"/>
      <c r="G83" s="348"/>
      <c r="H83" s="167" t="str">
        <f t="shared" si="4"/>
        <v/>
      </c>
    </row>
    <row r="84" spans="1:8" ht="12" customHeight="1" thickTop="1">
      <c r="A84" s="686" t="s">
        <v>308</v>
      </c>
      <c r="B84" s="247"/>
      <c r="C84" s="247" t="str">
        <f>IF(B84&lt;&gt;"",VLOOKUP($B84,Rates!$H$7:$I$23,2,FALSE),"")</f>
        <v/>
      </c>
      <c r="D84" s="235"/>
      <c r="E84" s="248">
        <v>0</v>
      </c>
      <c r="F84" s="249"/>
      <c r="G84" s="349">
        <f>IFERROR(E84*F84,0)</f>
        <v>0</v>
      </c>
      <c r="H84" s="167" t="str">
        <f t="shared" ref="H84:H93" si="13">IFERROR(LEFT($A84,FIND(".",$A84)),"")</f>
        <v>6.</v>
      </c>
    </row>
    <row r="85" spans="1:8" ht="12" customHeight="1">
      <c r="A85" s="685" t="s">
        <v>309</v>
      </c>
      <c r="B85" s="247"/>
      <c r="C85" s="247" t="str">
        <f>IF(B85&lt;&gt;"",VLOOKUP($B85,Rates!$H$7:$I$23,2,FALSE),"")</f>
        <v/>
      </c>
      <c r="D85" s="235"/>
      <c r="E85" s="250"/>
      <c r="F85" s="249"/>
      <c r="G85" s="349">
        <f t="shared" ref="G85:G91" si="14">IFERROR(E85*F85,0)</f>
        <v>0</v>
      </c>
      <c r="H85" s="167" t="str">
        <f t="shared" si="13"/>
        <v>6.</v>
      </c>
    </row>
    <row r="86" spans="1:8" ht="12" customHeight="1">
      <c r="A86" s="685" t="s">
        <v>310</v>
      </c>
      <c r="B86" s="247"/>
      <c r="C86" s="247" t="str">
        <f>IF(B86&lt;&gt;"",VLOOKUP($B86,Rates!$H$7:$I$23,2,FALSE),"")</f>
        <v/>
      </c>
      <c r="D86" s="235"/>
      <c r="E86" s="250"/>
      <c r="F86" s="249"/>
      <c r="G86" s="349">
        <f t="shared" si="14"/>
        <v>0</v>
      </c>
      <c r="H86" s="167" t="str">
        <f t="shared" si="13"/>
        <v>6.</v>
      </c>
    </row>
    <row r="87" spans="1:8" ht="12" customHeight="1">
      <c r="A87" s="685" t="s">
        <v>311</v>
      </c>
      <c r="B87" s="247"/>
      <c r="C87" s="247" t="str">
        <f>IF(B87&lt;&gt;"",VLOOKUP($B87,Rates!$H$7:$I$23,2,FALSE),"")</f>
        <v/>
      </c>
      <c r="D87" s="235"/>
      <c r="E87" s="250"/>
      <c r="F87" s="249"/>
      <c r="G87" s="349">
        <f t="shared" si="14"/>
        <v>0</v>
      </c>
      <c r="H87" s="167" t="str">
        <f t="shared" si="13"/>
        <v>6.</v>
      </c>
    </row>
    <row r="88" spans="1:8" ht="12" customHeight="1">
      <c r="A88" s="685" t="s">
        <v>312</v>
      </c>
      <c r="B88" s="247"/>
      <c r="C88" s="247" t="str">
        <f>IF(B88&lt;&gt;"",VLOOKUP($B88,Rates!$H$7:$I$23,2,FALSE),"")</f>
        <v/>
      </c>
      <c r="D88" s="235"/>
      <c r="E88" s="250"/>
      <c r="F88" s="249"/>
      <c r="G88" s="349">
        <f t="shared" si="14"/>
        <v>0</v>
      </c>
      <c r="H88" s="167" t="str">
        <f t="shared" si="13"/>
        <v>6.</v>
      </c>
    </row>
    <row r="89" spans="1:8" ht="12" customHeight="1">
      <c r="A89" s="685" t="s">
        <v>313</v>
      </c>
      <c r="B89" s="247"/>
      <c r="C89" s="247" t="str">
        <f>IF(B89&lt;&gt;"",VLOOKUP($B89,Rates!$H$7:$I$23,2,FALSE),"")</f>
        <v/>
      </c>
      <c r="D89" s="235"/>
      <c r="E89" s="250"/>
      <c r="F89" s="249"/>
      <c r="G89" s="349">
        <f t="shared" si="14"/>
        <v>0</v>
      </c>
      <c r="H89" s="167" t="str">
        <f t="shared" si="13"/>
        <v>6.</v>
      </c>
    </row>
    <row r="90" spans="1:8" ht="12" customHeight="1">
      <c r="A90" s="685" t="s">
        <v>314</v>
      </c>
      <c r="B90" s="247"/>
      <c r="C90" s="247" t="str">
        <f>IF(B90&lt;&gt;"",VLOOKUP($B90,Rates!$H$7:$I$23,2,FALSE),"")</f>
        <v/>
      </c>
      <c r="D90" s="235"/>
      <c r="E90" s="250"/>
      <c r="F90" s="249"/>
      <c r="G90" s="349">
        <f t="shared" si="14"/>
        <v>0</v>
      </c>
      <c r="H90" s="167" t="str">
        <f t="shared" si="13"/>
        <v>6.</v>
      </c>
    </row>
    <row r="91" spans="1:8" ht="12" customHeight="1">
      <c r="A91" s="685" t="s">
        <v>315</v>
      </c>
      <c r="B91" s="247"/>
      <c r="C91" s="247" t="str">
        <f>IF(B91&lt;&gt;"",VLOOKUP($B91,Rates!$H$7:$I$23,2,FALSE),"")</f>
        <v/>
      </c>
      <c r="D91" s="235"/>
      <c r="E91" s="250"/>
      <c r="F91" s="256"/>
      <c r="G91" s="349">
        <f t="shared" si="14"/>
        <v>0</v>
      </c>
      <c r="H91" s="167" t="str">
        <f t="shared" si="13"/>
        <v>6.</v>
      </c>
    </row>
    <row r="92" spans="1:8" ht="12" customHeight="1">
      <c r="A92" s="685" t="s">
        <v>316</v>
      </c>
      <c r="B92" s="247"/>
      <c r="C92" s="247" t="str">
        <f>IF(B92&lt;&gt;"",VLOOKUP($B92,Rates!$H$7:$I$23,2,FALSE),"")</f>
        <v/>
      </c>
      <c r="D92" s="235"/>
      <c r="E92" s="250"/>
      <c r="F92" s="257"/>
      <c r="G92" s="349">
        <f>IFERROR(E92*F92,0)</f>
        <v>0</v>
      </c>
      <c r="H92" s="167" t="str">
        <f t="shared" si="13"/>
        <v>6.</v>
      </c>
    </row>
    <row r="93" spans="1:8" ht="12" customHeight="1">
      <c r="A93" s="687" t="s">
        <v>317</v>
      </c>
      <c r="B93" s="251"/>
      <c r="C93" s="247" t="str">
        <f>IF(B93&lt;&gt;"",VLOOKUP($B93,Rates!$H$7:$I$23,2,FALSE),"")</f>
        <v/>
      </c>
      <c r="D93" s="241"/>
      <c r="E93" s="252"/>
      <c r="F93" s="253"/>
      <c r="G93" s="349">
        <f t="shared" ref="G93" si="15">IFERROR(E93*F93,0)</f>
        <v>0</v>
      </c>
      <c r="H93" s="167" t="str">
        <f t="shared" si="13"/>
        <v>6.</v>
      </c>
    </row>
    <row r="94" spans="1:8" ht="14" customHeight="1" thickBot="1">
      <c r="A94" s="43" t="s">
        <v>1</v>
      </c>
      <c r="B94" s="47"/>
      <c r="C94" s="47"/>
      <c r="D94" s="618" t="str">
        <f>"Subtask No. "&amp;$A83</f>
        <v>Subtask No. 6</v>
      </c>
      <c r="E94" s="254"/>
      <c r="F94" s="255"/>
      <c r="G94" s="351">
        <f>SUM(G84:G93)</f>
        <v>0</v>
      </c>
      <c r="H94" s="167" t="str">
        <f t="shared" ref="H94:H133" si="16">IFERROR(LEFT($A94,FIND(".",$A94)),"")</f>
        <v/>
      </c>
    </row>
    <row r="95" spans="1:8" ht="12" customHeight="1" thickTop="1">
      <c r="A95" s="347"/>
      <c r="B95" s="62"/>
      <c r="C95" s="62"/>
      <c r="D95" s="62"/>
      <c r="E95" s="168"/>
      <c r="F95" s="52"/>
      <c r="G95" s="352"/>
      <c r="H95" s="167" t="str">
        <f t="shared" si="16"/>
        <v/>
      </c>
    </row>
    <row r="96" spans="1:8" ht="12" customHeight="1" thickBot="1">
      <c r="A96" s="13">
        <v>7</v>
      </c>
      <c r="B96" s="617" t="str">
        <f>VLOOKUP(D107,'Task Order Setup'!$A$6:$C$23,3,FALSE)</f>
        <v>.</v>
      </c>
      <c r="C96" s="55"/>
      <c r="D96" s="45"/>
      <c r="E96" s="54"/>
      <c r="F96" s="53"/>
      <c r="G96" s="348"/>
      <c r="H96" s="167" t="str">
        <f t="shared" si="16"/>
        <v/>
      </c>
    </row>
    <row r="97" spans="1:8" ht="12" customHeight="1" thickTop="1">
      <c r="A97" s="686" t="s">
        <v>318</v>
      </c>
      <c r="B97" s="247"/>
      <c r="C97" s="247" t="str">
        <f>IF(B97&lt;&gt;"",VLOOKUP($B97,Rates!$H$7:$I$23,2,FALSE),"")</f>
        <v/>
      </c>
      <c r="D97" s="235"/>
      <c r="E97" s="248">
        <v>0</v>
      </c>
      <c r="F97" s="249"/>
      <c r="G97" s="349">
        <f>IFERROR(E97*F97,0)</f>
        <v>0</v>
      </c>
      <c r="H97" s="167" t="str">
        <f t="shared" ref="H97:H106" si="17">IFERROR(LEFT($A97,FIND(".",$A97)),"")</f>
        <v>7.</v>
      </c>
    </row>
    <row r="98" spans="1:8" ht="12" customHeight="1">
      <c r="A98" s="685" t="s">
        <v>319</v>
      </c>
      <c r="B98" s="247"/>
      <c r="C98" s="247" t="str">
        <f>IF(B98&lt;&gt;"",VLOOKUP($B98,Rates!$H$7:$I$23,2,FALSE),"")</f>
        <v/>
      </c>
      <c r="D98" s="235"/>
      <c r="E98" s="250"/>
      <c r="F98" s="249"/>
      <c r="G98" s="349">
        <f t="shared" ref="G98:G104" si="18">IFERROR(E98*F98,0)</f>
        <v>0</v>
      </c>
      <c r="H98" s="167" t="str">
        <f t="shared" si="17"/>
        <v>7.</v>
      </c>
    </row>
    <row r="99" spans="1:8" ht="12" customHeight="1">
      <c r="A99" s="685" t="s">
        <v>320</v>
      </c>
      <c r="B99" s="247"/>
      <c r="C99" s="247" t="str">
        <f>IF(B99&lt;&gt;"",VLOOKUP($B99,Rates!$H$7:$I$23,2,FALSE),"")</f>
        <v/>
      </c>
      <c r="D99" s="235"/>
      <c r="E99" s="250"/>
      <c r="F99" s="249"/>
      <c r="G99" s="349">
        <f t="shared" si="18"/>
        <v>0</v>
      </c>
      <c r="H99" s="167" t="str">
        <f t="shared" si="17"/>
        <v>7.</v>
      </c>
    </row>
    <row r="100" spans="1:8" ht="12" customHeight="1">
      <c r="A100" s="685" t="s">
        <v>321</v>
      </c>
      <c r="B100" s="247"/>
      <c r="C100" s="247" t="str">
        <f>IF(B100&lt;&gt;"",VLOOKUP($B100,Rates!$H$7:$I$23,2,FALSE),"")</f>
        <v/>
      </c>
      <c r="D100" s="235"/>
      <c r="E100" s="250"/>
      <c r="F100" s="249"/>
      <c r="G100" s="349">
        <f t="shared" si="18"/>
        <v>0</v>
      </c>
      <c r="H100" s="167" t="str">
        <f t="shared" si="17"/>
        <v>7.</v>
      </c>
    </row>
    <row r="101" spans="1:8" ht="12" customHeight="1">
      <c r="A101" s="685" t="s">
        <v>322</v>
      </c>
      <c r="B101" s="247"/>
      <c r="C101" s="247" t="str">
        <f>IF(B101&lt;&gt;"",VLOOKUP($B101,Rates!$H$7:$I$23,2,FALSE),"")</f>
        <v/>
      </c>
      <c r="D101" s="235"/>
      <c r="E101" s="250"/>
      <c r="F101" s="249"/>
      <c r="G101" s="349">
        <f t="shared" si="18"/>
        <v>0</v>
      </c>
      <c r="H101" s="167" t="str">
        <f t="shared" si="17"/>
        <v>7.</v>
      </c>
    </row>
    <row r="102" spans="1:8" ht="12" customHeight="1">
      <c r="A102" s="685" t="s">
        <v>323</v>
      </c>
      <c r="B102" s="247"/>
      <c r="C102" s="247" t="str">
        <f>IF(B102&lt;&gt;"",VLOOKUP($B102,Rates!$H$7:$I$23,2,FALSE),"")</f>
        <v/>
      </c>
      <c r="D102" s="235"/>
      <c r="E102" s="250"/>
      <c r="F102" s="249"/>
      <c r="G102" s="349">
        <f t="shared" si="18"/>
        <v>0</v>
      </c>
      <c r="H102" s="167" t="str">
        <f t="shared" si="17"/>
        <v>7.</v>
      </c>
    </row>
    <row r="103" spans="1:8" ht="12" customHeight="1">
      <c r="A103" s="685" t="s">
        <v>324</v>
      </c>
      <c r="B103" s="247"/>
      <c r="C103" s="247" t="str">
        <f>IF(B103&lt;&gt;"",VLOOKUP($B103,Rates!$H$7:$I$23,2,FALSE),"")</f>
        <v/>
      </c>
      <c r="D103" s="235"/>
      <c r="E103" s="250"/>
      <c r="F103" s="249"/>
      <c r="G103" s="349">
        <f t="shared" si="18"/>
        <v>0</v>
      </c>
      <c r="H103" s="167" t="str">
        <f t="shared" si="17"/>
        <v>7.</v>
      </c>
    </row>
    <row r="104" spans="1:8" ht="12" customHeight="1">
      <c r="A104" s="685" t="s">
        <v>325</v>
      </c>
      <c r="B104" s="247"/>
      <c r="C104" s="247" t="str">
        <f>IF(B104&lt;&gt;"",VLOOKUP($B104,Rates!$H$7:$I$23,2,FALSE),"")</f>
        <v/>
      </c>
      <c r="D104" s="235"/>
      <c r="E104" s="250"/>
      <c r="F104" s="256"/>
      <c r="G104" s="349">
        <f t="shared" si="18"/>
        <v>0</v>
      </c>
      <c r="H104" s="167" t="str">
        <f t="shared" si="17"/>
        <v>7.</v>
      </c>
    </row>
    <row r="105" spans="1:8" ht="12" customHeight="1">
      <c r="A105" s="685" t="s">
        <v>326</v>
      </c>
      <c r="B105" s="247"/>
      <c r="C105" s="247" t="str">
        <f>IF(B105&lt;&gt;"",VLOOKUP($B105,Rates!$H$7:$I$23,2,FALSE),"")</f>
        <v/>
      </c>
      <c r="D105" s="235"/>
      <c r="E105" s="250"/>
      <c r="F105" s="257"/>
      <c r="G105" s="349">
        <f>IFERROR(E105*F105,0)</f>
        <v>0</v>
      </c>
      <c r="H105" s="167" t="str">
        <f t="shared" si="17"/>
        <v>7.</v>
      </c>
    </row>
    <row r="106" spans="1:8" ht="12" customHeight="1">
      <c r="A106" s="687" t="s">
        <v>327</v>
      </c>
      <c r="B106" s="251"/>
      <c r="C106" s="247" t="str">
        <f>IF(B106&lt;&gt;"",VLOOKUP($B106,Rates!$H$7:$I$23,2,FALSE),"")</f>
        <v/>
      </c>
      <c r="D106" s="241"/>
      <c r="E106" s="252"/>
      <c r="F106" s="253"/>
      <c r="G106" s="349">
        <f t="shared" ref="G106" si="19">IFERROR(E106*F106,0)</f>
        <v>0</v>
      </c>
      <c r="H106" s="167" t="str">
        <f t="shared" si="17"/>
        <v>7.</v>
      </c>
    </row>
    <row r="107" spans="1:8" ht="14" customHeight="1" thickBot="1">
      <c r="A107" s="43" t="s">
        <v>1</v>
      </c>
      <c r="B107" s="47"/>
      <c r="C107" s="47"/>
      <c r="D107" s="618" t="str">
        <f>"Subtask No. "&amp;$A96</f>
        <v>Subtask No. 7</v>
      </c>
      <c r="E107" s="254"/>
      <c r="F107" s="255"/>
      <c r="G107" s="351">
        <f>SUM(G97:G106)</f>
        <v>0</v>
      </c>
      <c r="H107" s="167" t="str">
        <f t="shared" si="16"/>
        <v/>
      </c>
    </row>
    <row r="108" spans="1:8" ht="12" customHeight="1" thickTop="1">
      <c r="A108" s="347"/>
      <c r="B108" s="62"/>
      <c r="C108" s="62"/>
      <c r="D108" s="62"/>
      <c r="E108" s="168"/>
      <c r="F108" s="52"/>
      <c r="G108" s="352"/>
      <c r="H108" s="167" t="str">
        <f t="shared" si="16"/>
        <v/>
      </c>
    </row>
    <row r="109" spans="1:8" ht="12" customHeight="1" thickBot="1">
      <c r="A109" s="13">
        <v>8</v>
      </c>
      <c r="B109" s="617" t="str">
        <f>VLOOKUP(D120,'Task Order Setup'!$A$6:$C$23,3,FALSE)</f>
        <v>.</v>
      </c>
      <c r="C109" s="55"/>
      <c r="D109" s="45"/>
      <c r="E109" s="54"/>
      <c r="F109" s="53"/>
      <c r="G109" s="348"/>
      <c r="H109" s="167" t="str">
        <f t="shared" si="16"/>
        <v/>
      </c>
    </row>
    <row r="110" spans="1:8" ht="12" customHeight="1" thickTop="1">
      <c r="A110" s="686" t="s">
        <v>328</v>
      </c>
      <c r="B110" s="247"/>
      <c r="C110" s="247" t="str">
        <f>IF(B110&lt;&gt;"",VLOOKUP($B110,Rates!$H$7:$I$23,2,FALSE),"")</f>
        <v/>
      </c>
      <c r="D110" s="235"/>
      <c r="E110" s="248">
        <v>0</v>
      </c>
      <c r="F110" s="249"/>
      <c r="G110" s="349">
        <f>IFERROR(E110*F110,0)</f>
        <v>0</v>
      </c>
      <c r="H110" s="167" t="str">
        <f t="shared" ref="H110:H119" si="20">IFERROR(LEFT($A110,FIND(".",$A110)),"")</f>
        <v>8.</v>
      </c>
    </row>
    <row r="111" spans="1:8" ht="12" customHeight="1">
      <c r="A111" s="685" t="s">
        <v>329</v>
      </c>
      <c r="B111" s="247"/>
      <c r="C111" s="247" t="str">
        <f>IF(B111&lt;&gt;"",VLOOKUP($B111,Rates!$H$7:$I$23,2,FALSE),"")</f>
        <v/>
      </c>
      <c r="D111" s="235"/>
      <c r="E111" s="250"/>
      <c r="F111" s="249"/>
      <c r="G111" s="349">
        <f t="shared" ref="G111:G117" si="21">IFERROR(E111*F111,0)</f>
        <v>0</v>
      </c>
      <c r="H111" s="167" t="str">
        <f t="shared" si="20"/>
        <v>8.</v>
      </c>
    </row>
    <row r="112" spans="1:8" ht="12" customHeight="1">
      <c r="A112" s="685" t="s">
        <v>330</v>
      </c>
      <c r="B112" s="247"/>
      <c r="C112" s="247" t="str">
        <f>IF(B112&lt;&gt;"",VLOOKUP($B112,Rates!$H$7:$I$23,2,FALSE),"")</f>
        <v/>
      </c>
      <c r="D112" s="235"/>
      <c r="E112" s="250"/>
      <c r="F112" s="249"/>
      <c r="G112" s="349">
        <f t="shared" si="21"/>
        <v>0</v>
      </c>
      <c r="H112" s="167" t="str">
        <f t="shared" si="20"/>
        <v>8.</v>
      </c>
    </row>
    <row r="113" spans="1:8" ht="12" customHeight="1">
      <c r="A113" s="685" t="s">
        <v>331</v>
      </c>
      <c r="B113" s="247"/>
      <c r="C113" s="247" t="str">
        <f>IF(B113&lt;&gt;"",VLOOKUP($B113,Rates!$H$7:$I$23,2,FALSE),"")</f>
        <v/>
      </c>
      <c r="D113" s="235"/>
      <c r="E113" s="250"/>
      <c r="F113" s="249"/>
      <c r="G113" s="349">
        <f t="shared" si="21"/>
        <v>0</v>
      </c>
      <c r="H113" s="167" t="str">
        <f t="shared" si="20"/>
        <v>8.</v>
      </c>
    </row>
    <row r="114" spans="1:8" ht="12" customHeight="1">
      <c r="A114" s="685" t="s">
        <v>332</v>
      </c>
      <c r="B114" s="247"/>
      <c r="C114" s="247" t="str">
        <f>IF(B114&lt;&gt;"",VLOOKUP($B114,Rates!$H$7:$I$23,2,FALSE),"")</f>
        <v/>
      </c>
      <c r="D114" s="235"/>
      <c r="E114" s="250"/>
      <c r="F114" s="249"/>
      <c r="G114" s="349">
        <f t="shared" si="21"/>
        <v>0</v>
      </c>
      <c r="H114" s="167" t="str">
        <f t="shared" si="20"/>
        <v>8.</v>
      </c>
    </row>
    <row r="115" spans="1:8" ht="12" customHeight="1">
      <c r="A115" s="685" t="s">
        <v>333</v>
      </c>
      <c r="B115" s="247"/>
      <c r="C115" s="247" t="str">
        <f>IF(B115&lt;&gt;"",VLOOKUP($B115,Rates!$H$7:$I$23,2,FALSE),"")</f>
        <v/>
      </c>
      <c r="D115" s="235"/>
      <c r="E115" s="250"/>
      <c r="F115" s="249"/>
      <c r="G115" s="349">
        <f t="shared" si="21"/>
        <v>0</v>
      </c>
      <c r="H115" s="167" t="str">
        <f t="shared" si="20"/>
        <v>8.</v>
      </c>
    </row>
    <row r="116" spans="1:8" ht="12" customHeight="1">
      <c r="A116" s="685" t="s">
        <v>334</v>
      </c>
      <c r="B116" s="247"/>
      <c r="C116" s="247" t="str">
        <f>IF(B116&lt;&gt;"",VLOOKUP($B116,Rates!$H$7:$I$23,2,FALSE),"")</f>
        <v/>
      </c>
      <c r="D116" s="235"/>
      <c r="E116" s="250"/>
      <c r="F116" s="249"/>
      <c r="G116" s="349">
        <f t="shared" si="21"/>
        <v>0</v>
      </c>
      <c r="H116" s="167" t="str">
        <f t="shared" si="20"/>
        <v>8.</v>
      </c>
    </row>
    <row r="117" spans="1:8" ht="12" customHeight="1">
      <c r="A117" s="685" t="s">
        <v>335</v>
      </c>
      <c r="B117" s="247"/>
      <c r="C117" s="247" t="str">
        <f>IF(B117&lt;&gt;"",VLOOKUP($B117,Rates!$H$7:$I$23,2,FALSE),"")</f>
        <v/>
      </c>
      <c r="D117" s="235"/>
      <c r="E117" s="250"/>
      <c r="F117" s="256"/>
      <c r="G117" s="349">
        <f t="shared" si="21"/>
        <v>0</v>
      </c>
      <c r="H117" s="167" t="str">
        <f t="shared" si="20"/>
        <v>8.</v>
      </c>
    </row>
    <row r="118" spans="1:8" ht="12" customHeight="1">
      <c r="A118" s="685" t="s">
        <v>336</v>
      </c>
      <c r="B118" s="247"/>
      <c r="C118" s="247" t="str">
        <f>IF(B118&lt;&gt;"",VLOOKUP($B118,Rates!$H$7:$I$23,2,FALSE),"")</f>
        <v/>
      </c>
      <c r="D118" s="235"/>
      <c r="E118" s="250"/>
      <c r="F118" s="257"/>
      <c r="G118" s="349">
        <f>IFERROR(E118*F118,0)</f>
        <v>0</v>
      </c>
      <c r="H118" s="167" t="str">
        <f t="shared" si="20"/>
        <v>8.</v>
      </c>
    </row>
    <row r="119" spans="1:8" ht="12" customHeight="1">
      <c r="A119" s="687" t="s">
        <v>337</v>
      </c>
      <c r="B119" s="251"/>
      <c r="C119" s="247" t="str">
        <f>IF(B119&lt;&gt;"",VLOOKUP($B119,Rates!$H$7:$I$23,2,FALSE),"")</f>
        <v/>
      </c>
      <c r="D119" s="241"/>
      <c r="E119" s="252"/>
      <c r="F119" s="253"/>
      <c r="G119" s="349">
        <f t="shared" ref="G119" si="22">IFERROR(E119*F119,0)</f>
        <v>0</v>
      </c>
      <c r="H119" s="167" t="str">
        <f t="shared" si="20"/>
        <v>8.</v>
      </c>
    </row>
    <row r="120" spans="1:8" ht="14" customHeight="1" thickBot="1">
      <c r="A120" s="43" t="s">
        <v>1</v>
      </c>
      <c r="B120" s="47"/>
      <c r="C120" s="47"/>
      <c r="D120" s="618" t="str">
        <f>"Subtask No. "&amp;$A109</f>
        <v>Subtask No. 8</v>
      </c>
      <c r="E120" s="254"/>
      <c r="F120" s="255"/>
      <c r="G120" s="351">
        <f>SUM(G110:G119)</f>
        <v>0</v>
      </c>
      <c r="H120" s="167" t="str">
        <f t="shared" si="16"/>
        <v/>
      </c>
    </row>
    <row r="121" spans="1:8" ht="12" customHeight="1" thickTop="1">
      <c r="A121" s="619"/>
      <c r="B121" s="620"/>
      <c r="C121" s="620"/>
      <c r="D121" s="620"/>
      <c r="E121" s="621"/>
      <c r="F121" s="622"/>
      <c r="G121" s="623"/>
      <c r="H121" s="167" t="str">
        <f t="shared" si="16"/>
        <v/>
      </c>
    </row>
    <row r="122" spans="1:8" ht="12" customHeight="1" thickBot="1">
      <c r="A122" s="13">
        <v>9</v>
      </c>
      <c r="B122" s="617" t="str">
        <f>VLOOKUP(D133,'Task Order Setup'!$A$6:$C$23,3,FALSE)</f>
        <v>.</v>
      </c>
      <c r="C122" s="55"/>
      <c r="D122" s="45"/>
      <c r="E122" s="54"/>
      <c r="F122" s="53"/>
      <c r="G122" s="348"/>
      <c r="H122" s="167" t="str">
        <f t="shared" si="16"/>
        <v/>
      </c>
    </row>
    <row r="123" spans="1:8" ht="12" customHeight="1" thickTop="1">
      <c r="A123" s="686" t="s">
        <v>338</v>
      </c>
      <c r="B123" s="247"/>
      <c r="C123" s="247" t="str">
        <f>IF(B123&lt;&gt;"",VLOOKUP($B123,Rates!$H$7:$I$23,2,FALSE),"")</f>
        <v/>
      </c>
      <c r="D123" s="235"/>
      <c r="E123" s="248">
        <v>0</v>
      </c>
      <c r="F123" s="249"/>
      <c r="G123" s="349">
        <f>IFERROR(E123*F123,0)</f>
        <v>0</v>
      </c>
      <c r="H123" s="167" t="str">
        <f t="shared" ref="H123:H132" si="23">IFERROR(LEFT($A123,FIND(".",$A123)),"")</f>
        <v>9.</v>
      </c>
    </row>
    <row r="124" spans="1:8" ht="12" customHeight="1">
      <c r="A124" s="685" t="s">
        <v>339</v>
      </c>
      <c r="B124" s="247"/>
      <c r="C124" s="247" t="str">
        <f>IF(B124&lt;&gt;"",VLOOKUP($B124,Rates!$H$7:$I$23,2,FALSE),"")</f>
        <v/>
      </c>
      <c r="D124" s="235"/>
      <c r="E124" s="250"/>
      <c r="F124" s="249"/>
      <c r="G124" s="349">
        <f t="shared" ref="G124:G132" si="24">IFERROR(E124*F124,0)</f>
        <v>0</v>
      </c>
      <c r="H124" s="167" t="str">
        <f t="shared" si="23"/>
        <v>9.</v>
      </c>
    </row>
    <row r="125" spans="1:8" ht="12" customHeight="1">
      <c r="A125" s="685" t="s">
        <v>340</v>
      </c>
      <c r="B125" s="247"/>
      <c r="C125" s="247" t="str">
        <f>IF(B125&lt;&gt;"",VLOOKUP($B125,Rates!$H$7:$I$23,2,FALSE),"")</f>
        <v/>
      </c>
      <c r="D125" s="235"/>
      <c r="E125" s="250"/>
      <c r="F125" s="249"/>
      <c r="G125" s="349">
        <f t="shared" si="24"/>
        <v>0</v>
      </c>
      <c r="H125" s="167" t="str">
        <f t="shared" si="23"/>
        <v>9.</v>
      </c>
    </row>
    <row r="126" spans="1:8" ht="12" customHeight="1">
      <c r="A126" s="685" t="s">
        <v>341</v>
      </c>
      <c r="B126" s="247"/>
      <c r="C126" s="247" t="str">
        <f>IF(B126&lt;&gt;"",VLOOKUP($B126,Rates!$H$7:$I$23,2,FALSE),"")</f>
        <v/>
      </c>
      <c r="D126" s="235"/>
      <c r="E126" s="250"/>
      <c r="F126" s="249"/>
      <c r="G126" s="349">
        <f t="shared" si="24"/>
        <v>0</v>
      </c>
      <c r="H126" s="167" t="str">
        <f t="shared" si="23"/>
        <v>9.</v>
      </c>
    </row>
    <row r="127" spans="1:8" ht="12" customHeight="1">
      <c r="A127" s="685" t="s">
        <v>342</v>
      </c>
      <c r="B127" s="247"/>
      <c r="C127" s="247" t="str">
        <f>IF(B127&lt;&gt;"",VLOOKUP($B127,Rates!$H$7:$I$23,2,FALSE),"")</f>
        <v/>
      </c>
      <c r="D127" s="235"/>
      <c r="E127" s="250"/>
      <c r="F127" s="249"/>
      <c r="G127" s="349">
        <f t="shared" si="24"/>
        <v>0</v>
      </c>
      <c r="H127" s="167" t="str">
        <f t="shared" si="23"/>
        <v>9.</v>
      </c>
    </row>
    <row r="128" spans="1:8" ht="12" customHeight="1">
      <c r="A128" s="685" t="s">
        <v>343</v>
      </c>
      <c r="B128" s="247"/>
      <c r="C128" s="247" t="str">
        <f>IF(B128&lt;&gt;"",VLOOKUP($B128,Rates!$H$7:$I$23,2,FALSE),"")</f>
        <v/>
      </c>
      <c r="D128" s="235"/>
      <c r="E128" s="250"/>
      <c r="F128" s="249"/>
      <c r="G128" s="349">
        <f t="shared" si="24"/>
        <v>0</v>
      </c>
      <c r="H128" s="167" t="str">
        <f t="shared" si="23"/>
        <v>9.</v>
      </c>
    </row>
    <row r="129" spans="1:8" ht="12" customHeight="1">
      <c r="A129" s="685" t="s">
        <v>344</v>
      </c>
      <c r="B129" s="247"/>
      <c r="C129" s="247" t="str">
        <f>IF(B129&lt;&gt;"",VLOOKUP($B129,Rates!$H$7:$I$23,2,FALSE),"")</f>
        <v/>
      </c>
      <c r="D129" s="235"/>
      <c r="E129" s="250"/>
      <c r="F129" s="249"/>
      <c r="G129" s="349">
        <f t="shared" si="24"/>
        <v>0</v>
      </c>
      <c r="H129" s="167" t="str">
        <f t="shared" si="23"/>
        <v>9.</v>
      </c>
    </row>
    <row r="130" spans="1:8" ht="12" customHeight="1">
      <c r="A130" s="685" t="s">
        <v>345</v>
      </c>
      <c r="B130" s="247"/>
      <c r="C130" s="247" t="str">
        <f>IF(B130&lt;&gt;"",VLOOKUP($B130,Rates!$H$7:$I$23,2,FALSE),"")</f>
        <v/>
      </c>
      <c r="D130" s="235"/>
      <c r="E130" s="250"/>
      <c r="F130" s="256"/>
      <c r="G130" s="349">
        <f t="shared" si="24"/>
        <v>0</v>
      </c>
      <c r="H130" s="167" t="str">
        <f t="shared" si="23"/>
        <v>9.</v>
      </c>
    </row>
    <row r="131" spans="1:8" ht="12" customHeight="1">
      <c r="A131" s="685" t="s">
        <v>346</v>
      </c>
      <c r="B131" s="247"/>
      <c r="C131" s="247" t="str">
        <f>IF(B131&lt;&gt;"",VLOOKUP($B131,Rates!$H$7:$I$23,2,FALSE),"")</f>
        <v/>
      </c>
      <c r="D131" s="235"/>
      <c r="E131" s="250"/>
      <c r="F131" s="257"/>
      <c r="G131" s="349">
        <f>IFERROR(E131*F131,0)</f>
        <v>0</v>
      </c>
      <c r="H131" s="167" t="str">
        <f t="shared" si="23"/>
        <v>9.</v>
      </c>
    </row>
    <row r="132" spans="1:8" ht="12" customHeight="1">
      <c r="A132" s="687" t="s">
        <v>347</v>
      </c>
      <c r="B132" s="251"/>
      <c r="C132" s="247" t="str">
        <f>IF(B132&lt;&gt;"",VLOOKUP($B132,Rates!$H$7:$I$23,2,FALSE),"")</f>
        <v/>
      </c>
      <c r="D132" s="241"/>
      <c r="E132" s="252"/>
      <c r="F132" s="253"/>
      <c r="G132" s="349">
        <f t="shared" si="24"/>
        <v>0</v>
      </c>
      <c r="H132" s="167" t="str">
        <f t="shared" si="23"/>
        <v>9.</v>
      </c>
    </row>
    <row r="133" spans="1:8" ht="14" customHeight="1" thickBot="1">
      <c r="A133" s="43" t="s">
        <v>1</v>
      </c>
      <c r="B133" s="47"/>
      <c r="C133" s="47"/>
      <c r="D133" s="618" t="str">
        <f>"Subtask No. "&amp;$A122</f>
        <v>Subtask No. 9</v>
      </c>
      <c r="E133" s="254"/>
      <c r="F133" s="255"/>
      <c r="G133" s="351">
        <f>SUM(G123:G132)</f>
        <v>0</v>
      </c>
      <c r="H133" s="167" t="str">
        <f t="shared" si="16"/>
        <v/>
      </c>
    </row>
    <row r="134" spans="1:8" ht="10" customHeight="1" thickTop="1" thickBot="1">
      <c r="A134" s="347"/>
      <c r="B134" s="62"/>
      <c r="C134" s="62"/>
      <c r="D134" s="62"/>
      <c r="E134" s="168"/>
      <c r="F134" s="52"/>
      <c r="G134" s="352"/>
      <c r="H134" s="167" t="str">
        <f t="shared" ref="H134" si="25">IFERROR(LEFT($A134,FIND(".",$A134)),"")</f>
        <v/>
      </c>
    </row>
    <row r="135" spans="1:8" ht="14" thickBot="1">
      <c r="A135" s="392" t="s">
        <v>128</v>
      </c>
      <c r="B135" s="258"/>
      <c r="C135" s="258"/>
      <c r="D135" s="258"/>
      <c r="E135" s="259"/>
      <c r="F135" s="260"/>
      <c r="G135" s="391">
        <f>SUM(G$29,$G$42,$G$55,$G$68,$G$81,$G$94,$G$107,$G$120,$G$133)</f>
        <v>3500</v>
      </c>
      <c r="H135" s="167" t="str">
        <f t="shared" ref="H135" si="26">IFERROR(LEFT($A135,FIND(".",$A135)),"")</f>
        <v/>
      </c>
    </row>
    <row r="136" spans="1:8">
      <c r="A136" s="146"/>
      <c r="B136" s="146"/>
      <c r="C136" s="146"/>
      <c r="D136" s="146"/>
      <c r="E136" s="261"/>
      <c r="F136" s="262"/>
      <c r="G136" s="262"/>
    </row>
    <row r="137" spans="1:8">
      <c r="A137" s="146"/>
      <c r="B137" s="146"/>
      <c r="C137" s="146"/>
      <c r="D137" s="146"/>
      <c r="E137" s="261"/>
      <c r="F137" s="262"/>
      <c r="G137" s="262"/>
    </row>
  </sheetData>
  <phoneticPr fontId="3" type="noConversion"/>
  <dataValidations count="1">
    <dataValidation type="list" allowBlank="1" showInputMessage="1" showErrorMessage="1" sqref="B19:B28 B32:B41 B45:B54 B71:B80 B123:B132 B110:B119 B84:B93 B97:B106 B58:B67" xr:uid="{00000000-0002-0000-0300-000000000000}">
      <formula1>Company</formula1>
    </dataValidation>
  </dataValidations>
  <pageMargins left="0.75" right="0.75" top="1" bottom="1" header="0.5" footer="0.5"/>
  <pageSetup scale="58" fitToHeight="0" orientation="portrait" r:id="rId1"/>
  <headerFooter alignWithMargins="0">
    <oddFooter>&amp;L&amp;Z
&amp;F&amp;RSheet 6 of 9
&amp;T  &amp;D</oddFooter>
  </headerFooter>
  <ignoredErrors>
    <ignoredError sqref="A28 A35 A32:A34 A36:A41 A45:A54 A58:A67 A71:A80 A84:A93 A97:A106 A110:A119 A123:A132"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FF00"/>
    <pageSetUpPr fitToPage="1"/>
  </sheetPr>
  <dimension ref="A2:AA40"/>
  <sheetViews>
    <sheetView topLeftCell="B1" zoomScaleNormal="100" zoomScaleSheetLayoutView="85" workbookViewId="0">
      <selection activeCell="F32" sqref="F32"/>
    </sheetView>
  </sheetViews>
  <sheetFormatPr baseColWidth="10" defaultColWidth="8.83203125" defaultRowHeight="13"/>
  <cols>
    <col min="1" max="1" width="14" style="51" hidden="1" customWidth="1"/>
    <col min="2" max="2" width="11.83203125" style="62" bestFit="1" customWidth="1"/>
    <col min="3" max="3" width="41" style="62" customWidth="1"/>
    <col min="4" max="11" width="15.5" style="62" customWidth="1"/>
    <col min="12" max="12" width="8.83203125" style="62"/>
    <col min="13" max="13" width="0" style="62" hidden="1" customWidth="1"/>
    <col min="14" max="14" width="11.5" style="70" customWidth="1"/>
    <col min="15" max="26" width="11.5" style="62" customWidth="1"/>
    <col min="27" max="27" width="8.83203125" style="62"/>
  </cols>
  <sheetData>
    <row r="2" spans="1:27" ht="24.75" customHeight="1">
      <c r="A2" s="75"/>
      <c r="B2" s="67" t="s">
        <v>121</v>
      </c>
      <c r="C2" s="68"/>
      <c r="D2" s="68"/>
      <c r="E2" s="68"/>
      <c r="F2" s="68"/>
      <c r="G2" s="68"/>
      <c r="H2" s="69"/>
      <c r="I2" s="69"/>
      <c r="J2" s="69"/>
      <c r="K2" s="69"/>
    </row>
    <row r="3" spans="1:27" ht="18">
      <c r="A3" s="75"/>
      <c r="B3" s="705" t="str">
        <f>'Task Order Setup'!C1</f>
        <v>Task Order No. 1 Mod 0: General Consulting Services</v>
      </c>
      <c r="C3" s="705"/>
      <c r="D3" s="705"/>
      <c r="E3" s="705"/>
      <c r="F3" s="705"/>
      <c r="G3" s="705"/>
      <c r="H3" s="705"/>
      <c r="I3" s="705"/>
      <c r="J3" s="705"/>
      <c r="K3" s="705"/>
    </row>
    <row r="4" spans="1:27" ht="18">
      <c r="A4" s="75"/>
      <c r="B4" s="67" t="str">
        <f>'Task Order Setup'!C2</f>
        <v>Agreement No. 47557A, Project No. 600</v>
      </c>
      <c r="C4" s="68"/>
      <c r="D4" s="68"/>
      <c r="E4" s="68"/>
      <c r="F4" s="68"/>
      <c r="G4" s="68"/>
      <c r="H4" s="69"/>
      <c r="I4" s="69"/>
      <c r="J4" s="69"/>
      <c r="K4" s="69"/>
    </row>
    <row r="5" spans="1:27" ht="18">
      <c r="A5" s="75"/>
      <c r="B5" s="67" t="str">
        <f>'Task Order Setup'!C3</f>
        <v>Effective Period: 10/01/19-10/31/19</v>
      </c>
      <c r="C5" s="68"/>
      <c r="D5" s="68"/>
      <c r="E5" s="68"/>
      <c r="F5" s="68"/>
      <c r="G5" s="68"/>
      <c r="H5" s="64"/>
      <c r="I5" s="65"/>
      <c r="J5" s="65"/>
      <c r="K5" s="65"/>
      <c r="L5" s="63"/>
      <c r="M5" s="63"/>
    </row>
    <row r="6" spans="1:27" ht="19" thickBot="1">
      <c r="A6" s="75"/>
      <c r="B6" s="67"/>
      <c r="C6" s="68"/>
      <c r="D6" s="68"/>
      <c r="E6" s="68"/>
      <c r="F6" s="68"/>
      <c r="G6" s="68"/>
      <c r="H6" s="64"/>
      <c r="I6" s="65"/>
      <c r="J6" s="65"/>
      <c r="K6" s="65"/>
      <c r="L6" s="63"/>
      <c r="M6" s="63"/>
    </row>
    <row r="7" spans="1:27" ht="18" thickTop="1" thickBot="1">
      <c r="A7" s="75"/>
      <c r="B7" s="263"/>
      <c r="C7" s="264"/>
      <c r="D7" s="717" t="s">
        <v>119</v>
      </c>
      <c r="E7" s="718"/>
      <c r="F7" s="718"/>
      <c r="G7" s="719"/>
      <c r="H7" s="717" t="s">
        <v>118</v>
      </c>
      <c r="I7" s="718"/>
      <c r="J7" s="718"/>
      <c r="K7" s="719"/>
      <c r="L7" s="63"/>
      <c r="M7" s="63"/>
      <c r="N7" s="711" t="s">
        <v>82</v>
      </c>
      <c r="O7" s="712"/>
      <c r="P7" s="713"/>
      <c r="Q7" s="714" t="s">
        <v>83</v>
      </c>
      <c r="R7" s="715"/>
      <c r="S7" s="716"/>
      <c r="T7" s="706" t="s">
        <v>105</v>
      </c>
      <c r="U7" s="707"/>
      <c r="V7" s="707"/>
      <c r="W7" s="423"/>
      <c r="X7" s="442"/>
      <c r="Y7" s="442"/>
      <c r="Z7" s="442"/>
    </row>
    <row r="8" spans="1:27" ht="18.75" customHeight="1" thickBot="1">
      <c r="A8" s="76"/>
      <c r="B8" s="393" t="s">
        <v>101</v>
      </c>
      <c r="C8" s="408" t="s">
        <v>104</v>
      </c>
      <c r="D8" s="394" t="s">
        <v>58</v>
      </c>
      <c r="E8" s="395" t="s">
        <v>116</v>
      </c>
      <c r="F8" s="395" t="s">
        <v>117</v>
      </c>
      <c r="G8" s="396" t="s">
        <v>75</v>
      </c>
      <c r="H8" s="409" t="s">
        <v>82</v>
      </c>
      <c r="I8" s="410" t="s">
        <v>83</v>
      </c>
      <c r="J8" s="397" t="s">
        <v>105</v>
      </c>
      <c r="K8" s="398" t="s">
        <v>75</v>
      </c>
      <c r="L8" s="77"/>
      <c r="M8" s="77"/>
      <c r="N8" s="424" t="s">
        <v>58</v>
      </c>
      <c r="O8" s="425" t="s">
        <v>68</v>
      </c>
      <c r="P8" s="425" t="s">
        <v>33</v>
      </c>
      <c r="Q8" s="426" t="s">
        <v>58</v>
      </c>
      <c r="R8" s="426" t="s">
        <v>68</v>
      </c>
      <c r="S8" s="427" t="s">
        <v>33</v>
      </c>
      <c r="T8" s="428" t="s">
        <v>58</v>
      </c>
      <c r="U8" s="428" t="s">
        <v>68</v>
      </c>
      <c r="V8" s="429" t="s">
        <v>33</v>
      </c>
      <c r="W8" s="430" t="s">
        <v>1</v>
      </c>
      <c r="X8" s="443"/>
      <c r="Y8" s="443"/>
      <c r="Z8" s="443"/>
      <c r="AA8" s="78"/>
    </row>
    <row r="9" spans="1:27" ht="20.25" customHeight="1" thickTop="1">
      <c r="A9" s="51" t="str">
        <f>$B$8&amp;" "&amp;B9</f>
        <v>Subtask No. 1</v>
      </c>
      <c r="B9" s="265">
        <v>1</v>
      </c>
      <c r="C9" s="411" t="str">
        <f>VLOOKUP($A9,'Task Order Setup'!$A$1:$C$23,3,FALSE)</f>
        <v>Consulting Services</v>
      </c>
      <c r="D9" s="399">
        <f>VLOOKUP($A9,'Labor Costs'!$A:$D,3,FALSE)</f>
        <v>32560</v>
      </c>
      <c r="E9" s="400">
        <f>VLOOKUP($A9,Travel!$A:$D,3,FALSE)</f>
        <v>1718</v>
      </c>
      <c r="F9" s="400">
        <f>+VLOOKUP($A9,Expenses!$A:$E,3,FALSE)</f>
        <v>500</v>
      </c>
      <c r="G9" s="401">
        <f>SUM(D9:F9)</f>
        <v>34778</v>
      </c>
      <c r="H9" s="412">
        <f t="shared" ref="H9:H18" ca="1" si="0">IFERROR(P9/$W9,0)</f>
        <v>0.1530550514216576</v>
      </c>
      <c r="I9" s="413">
        <f t="shared" ref="I9:I18" ca="1" si="1">IFERROR(S9/$W9,0)</f>
        <v>0.84694494857834246</v>
      </c>
      <c r="J9" s="413">
        <f t="shared" ref="J9:J18" ca="1" si="2">IFERROR(V9/$W9,0)</f>
        <v>0</v>
      </c>
      <c r="K9" s="414">
        <f t="shared" ref="K9:K18" ca="1" si="3">SUM(H9:J9)</f>
        <v>1</v>
      </c>
      <c r="L9" s="63"/>
      <c r="M9" s="390" t="str">
        <f>SUBSTITUTE(ADDRESS(1,B9*2+4,4),"1","")</f>
        <v>F</v>
      </c>
      <c r="N9" s="431">
        <f ca="1">SUMIFS(INDIRECT("'Labor Costs'!$"&amp;$M9&amp;":$"&amp;$M9),'Labor Costs'!$C:$C,$N$7)</f>
        <v>4560</v>
      </c>
      <c r="O9" s="431">
        <f>SUMIFS(Travel!$U:$U,Travel!$W:$W,'Task Order Cost Summary'!$B9&amp;".",Travel!$C:$C,'Task Order Cost Summary'!$N$7)+SUMIFS(Expenses!$G:$G,Expenses!$H:$H,'Task Order Cost Summary'!$B9&amp;".",Expenses!$C:$C,'Task Order Cost Summary'!$N$7)</f>
        <v>500</v>
      </c>
      <c r="P9" s="432">
        <f ca="1">N9+O9</f>
        <v>5060</v>
      </c>
      <c r="Q9" s="433">
        <f ca="1">SUMIFS(INDIRECT("'Labor Costs'!$"&amp;$M9&amp;":$"&amp;$M9),'Labor Costs'!$C:$C,$Q$7)</f>
        <v>28000</v>
      </c>
      <c r="R9" s="433">
        <f>SUMIFS(Travel!$U:$U,Travel!$W:$W,'Task Order Cost Summary'!$B9&amp;".",Travel!$C:$C,'Task Order Cost Summary'!$Q$7)+SUMIFS(Expenses!$G:$G,Expenses!$H:$H,'Task Order Cost Summary'!$B9&amp;".",Expenses!$C:$C,'Task Order Cost Summary'!$Q$7)</f>
        <v>0</v>
      </c>
      <c r="S9" s="434">
        <f ca="1">Q9+R9</f>
        <v>28000</v>
      </c>
      <c r="T9" s="435">
        <f ca="1">SUMIFS(INDIRECT("'Labor Costs'!$"&amp;$M9&amp;":$"&amp;$M9),'Labor Costs'!$C:$C,$T$7)</f>
        <v>0</v>
      </c>
      <c r="U9" s="435">
        <f>SUMIFS(Travel!$U:$U,Travel!$W:$W,'Task Order Cost Summary'!$B9&amp;".",Travel!$C:$C,'Task Order Cost Summary'!$T$7)+SUMIFS(Expenses!$G:$G,Expenses!$H:$H,'Task Order Cost Summary'!$B9&amp;".",Expenses!$C:$C,'Task Order Cost Summary'!$T$7)</f>
        <v>0</v>
      </c>
      <c r="V9" s="436">
        <f ca="1">T9+U9</f>
        <v>0</v>
      </c>
      <c r="W9" s="437">
        <f ca="1">P9+S9+V9</f>
        <v>33060</v>
      </c>
      <c r="X9" s="444" t="str">
        <f t="shared" ref="X9:X18" ca="1" si="4">IF(G9=W9,"OK","Error")</f>
        <v>Error</v>
      </c>
      <c r="Y9" s="444"/>
      <c r="Z9" s="445">
        <f ca="1">G9-W9</f>
        <v>1718</v>
      </c>
    </row>
    <row r="10" spans="1:27" ht="20.25" customHeight="1">
      <c r="A10" s="51" t="str">
        <f t="shared" ref="A10:A17" si="5">$B$8&amp;" "&amp;B10</f>
        <v>Subtask No. 2</v>
      </c>
      <c r="B10" s="266">
        <v>2</v>
      </c>
      <c r="C10" s="415" t="str">
        <f>VLOOKUP($A10,'Task Order Setup'!$A$1:$C$23,3,FALSE)</f>
        <v>Monitoring Services</v>
      </c>
      <c r="D10" s="402">
        <f>VLOOKUP($A10,'Labor Costs'!$A:$D,3,FALSE)</f>
        <v>27060</v>
      </c>
      <c r="E10" s="403">
        <f>VLOOKUP($A10,Travel!$A:$D,3,FALSE)</f>
        <v>2134</v>
      </c>
      <c r="F10" s="403">
        <f>+VLOOKUP($A10,Expenses!$A:$E,3,FALSE)</f>
        <v>3000</v>
      </c>
      <c r="G10" s="404">
        <f t="shared" ref="G10:G17" si="6">SUM(D10:F10)</f>
        <v>32194</v>
      </c>
      <c r="H10" s="416">
        <f t="shared" ca="1" si="0"/>
        <v>0.90681493445983719</v>
      </c>
      <c r="I10" s="417">
        <f t="shared" ca="1" si="1"/>
        <v>9.3185065540162759E-2</v>
      </c>
      <c r="J10" s="417">
        <f t="shared" ca="1" si="2"/>
        <v>0</v>
      </c>
      <c r="K10" s="418">
        <f t="shared" ca="1" si="3"/>
        <v>1</v>
      </c>
      <c r="L10" s="63"/>
      <c r="M10" s="390" t="str">
        <f t="shared" ref="M10:M17" si="7">SUBSTITUTE(ADDRESS(1,B10*2+4,4),"1","")</f>
        <v>H</v>
      </c>
      <c r="N10" s="431">
        <f ca="1">SUMIFS(INDIRECT("'Labor Costs'!$"&amp;$M10&amp;":$"&amp;$M10),'Labor Costs'!$C:$C,$N$7)</f>
        <v>27060</v>
      </c>
      <c r="O10" s="431">
        <f>SUMIFS(Travel!$U:$U,Travel!$W:$W,'Task Order Cost Summary'!$B10&amp;".",Travel!$C:$C,'Task Order Cost Summary'!$N$7)+SUMIFS(Expenses!$G:$G,Expenses!$H:$H,'Task Order Cost Summary'!$B10&amp;".",Expenses!$C:$C,'Task Order Cost Summary'!$N$7)</f>
        <v>2134</v>
      </c>
      <c r="P10" s="432">
        <f t="shared" ref="P10:P17" ca="1" si="8">N10+O10</f>
        <v>29194</v>
      </c>
      <c r="Q10" s="433">
        <f ca="1">SUMIFS(INDIRECT("'Labor Costs'!$"&amp;$M10&amp;":$"&amp;$M10),'Labor Costs'!$C:$C,$Q$7)</f>
        <v>0</v>
      </c>
      <c r="R10" s="433">
        <f>SUMIFS(Travel!$U:$U,Travel!$W:$W,'Task Order Cost Summary'!$B10&amp;".",Travel!$C:$C,'Task Order Cost Summary'!$Q$7)+SUMIFS(Expenses!$G:$G,Expenses!$H:$H,'Task Order Cost Summary'!$B10&amp;".",Expenses!$C:$C,'Task Order Cost Summary'!$Q$7)</f>
        <v>3000</v>
      </c>
      <c r="S10" s="434">
        <f t="shared" ref="S10:S17" ca="1" si="9">Q10+R10</f>
        <v>3000</v>
      </c>
      <c r="T10" s="435">
        <f ca="1">SUMIFS(INDIRECT("'Labor Costs'!$"&amp;$M10&amp;":$"&amp;$M10),'Labor Costs'!$C:$C,$T$7)</f>
        <v>0</v>
      </c>
      <c r="U10" s="435">
        <f>SUMIFS(Travel!$U:$U,Travel!$W:$W,'Task Order Cost Summary'!$B10&amp;".",Travel!$C:$C,'Task Order Cost Summary'!$T$7)+SUMIFS(Expenses!$G:$G,Expenses!$H:$H,'Task Order Cost Summary'!$B10&amp;".",Expenses!$C:$C,'Task Order Cost Summary'!$T$7)</f>
        <v>0</v>
      </c>
      <c r="V10" s="436">
        <f t="shared" ref="V10:V17" ca="1" si="10">T10+U10</f>
        <v>0</v>
      </c>
      <c r="W10" s="437">
        <f t="shared" ref="W10:W17" ca="1" si="11">P10+S10+V10</f>
        <v>32194</v>
      </c>
      <c r="X10" s="444" t="str">
        <f t="shared" ca="1" si="4"/>
        <v>OK</v>
      </c>
      <c r="Y10" s="444"/>
      <c r="Z10" s="445">
        <f t="shared" ref="Z10:Z18" ca="1" si="12">G10-W10</f>
        <v>0</v>
      </c>
    </row>
    <row r="11" spans="1:27" ht="20.25" customHeight="1">
      <c r="A11" s="51" t="str">
        <f t="shared" si="5"/>
        <v>Subtask No. 3</v>
      </c>
      <c r="B11" s="266">
        <v>3</v>
      </c>
      <c r="C11" s="415" t="str">
        <f>VLOOKUP($A11,'Task Order Setup'!$A$1:$C$23,3,FALSE)</f>
        <v>Project Management</v>
      </c>
      <c r="D11" s="402">
        <f>VLOOKUP($A11,'Labor Costs'!$A:$D,3,FALSE)</f>
        <v>0</v>
      </c>
      <c r="E11" s="403">
        <f>VLOOKUP($A11,Travel!$A:$D,3,FALSE)</f>
        <v>0</v>
      </c>
      <c r="F11" s="403">
        <f>+VLOOKUP($A11,Expenses!$A:$E,3,FALSE)</f>
        <v>0</v>
      </c>
      <c r="G11" s="404">
        <f>SUM(D11:F11)</f>
        <v>0</v>
      </c>
      <c r="H11" s="416">
        <f t="shared" ca="1" si="0"/>
        <v>0</v>
      </c>
      <c r="I11" s="417">
        <f t="shared" ca="1" si="1"/>
        <v>0</v>
      </c>
      <c r="J11" s="417">
        <f t="shared" ca="1" si="2"/>
        <v>0</v>
      </c>
      <c r="K11" s="418">
        <f t="shared" ca="1" si="3"/>
        <v>0</v>
      </c>
      <c r="L11" s="63"/>
      <c r="M11" s="390" t="str">
        <f t="shared" si="7"/>
        <v>J</v>
      </c>
      <c r="N11" s="431">
        <f ca="1">SUMIFS(INDIRECT("'Labor Costs'!$"&amp;$M11&amp;":$"&amp;$M11),'Labor Costs'!$C:$C,$N$7)</f>
        <v>0</v>
      </c>
      <c r="O11" s="431">
        <f>SUMIFS(Travel!$U:$U,Travel!$W:$W,'Task Order Cost Summary'!$B11&amp;".",Travel!$C:$C,'Task Order Cost Summary'!$N$7)+SUMIFS(Expenses!$G:$G,Expenses!$H:$H,'Task Order Cost Summary'!$B11&amp;".",Expenses!$C:$C,'Task Order Cost Summary'!$N$7)</f>
        <v>0</v>
      </c>
      <c r="P11" s="432">
        <f t="shared" ca="1" si="8"/>
        <v>0</v>
      </c>
      <c r="Q11" s="433">
        <f ca="1">SUMIFS(INDIRECT("'Labor Costs'!$"&amp;$M11&amp;":$"&amp;$M11),'Labor Costs'!$C:$C,$Q$7)</f>
        <v>0</v>
      </c>
      <c r="R11" s="433">
        <f>SUMIFS(Travel!$U:$U,Travel!$W:$W,'Task Order Cost Summary'!$B11&amp;".",Travel!$C:$C,'Task Order Cost Summary'!$Q$7)+SUMIFS(Expenses!$G:$G,Expenses!$H:$H,'Task Order Cost Summary'!$B11&amp;".",Expenses!$C:$C,'Task Order Cost Summary'!$Q$7)</f>
        <v>0</v>
      </c>
      <c r="S11" s="434">
        <f t="shared" ca="1" si="9"/>
        <v>0</v>
      </c>
      <c r="T11" s="435">
        <f ca="1">SUMIFS(INDIRECT("'Labor Costs'!$"&amp;$M11&amp;":$"&amp;$M11),'Labor Costs'!$C:$C,$T$7)</f>
        <v>0</v>
      </c>
      <c r="U11" s="435">
        <f>SUMIFS(Travel!$U:$U,Travel!$W:$W,'Task Order Cost Summary'!$B11&amp;".",Travel!$C:$C,'Task Order Cost Summary'!$T$7)+SUMIFS(Expenses!$G:$G,Expenses!$H:$H,'Task Order Cost Summary'!$B11&amp;".",Expenses!$C:$C,'Task Order Cost Summary'!$T$7)</f>
        <v>0</v>
      </c>
      <c r="V11" s="436">
        <f t="shared" ca="1" si="10"/>
        <v>0</v>
      </c>
      <c r="W11" s="437">
        <f t="shared" ca="1" si="11"/>
        <v>0</v>
      </c>
      <c r="X11" s="444" t="str">
        <f t="shared" ca="1" si="4"/>
        <v>OK</v>
      </c>
      <c r="Y11" s="444"/>
      <c r="Z11" s="445">
        <f t="shared" ca="1" si="12"/>
        <v>0</v>
      </c>
    </row>
    <row r="12" spans="1:27" ht="20.25" customHeight="1">
      <c r="A12" s="51" t="str">
        <f t="shared" si="5"/>
        <v>Subtask No. 4</v>
      </c>
      <c r="B12" s="266">
        <v>4</v>
      </c>
      <c r="C12" s="419" t="str">
        <f>VLOOKUP($A12,'Task Order Setup'!$A$1:$C$23,3,FALSE)</f>
        <v>.</v>
      </c>
      <c r="D12" s="402">
        <f>VLOOKUP($A12,'Labor Costs'!$A:$D,3,FALSE)</f>
        <v>0</v>
      </c>
      <c r="E12" s="403">
        <f>VLOOKUP($A12,Travel!$A:$D,3,FALSE)</f>
        <v>0</v>
      </c>
      <c r="F12" s="403">
        <f>+VLOOKUP($A12,Expenses!$A:$E,3,FALSE)</f>
        <v>0</v>
      </c>
      <c r="G12" s="404">
        <f t="shared" si="6"/>
        <v>0</v>
      </c>
      <c r="H12" s="416">
        <f t="shared" ca="1" si="0"/>
        <v>0</v>
      </c>
      <c r="I12" s="417">
        <f t="shared" ca="1" si="1"/>
        <v>0</v>
      </c>
      <c r="J12" s="417">
        <f t="shared" ca="1" si="2"/>
        <v>0</v>
      </c>
      <c r="K12" s="418">
        <f t="shared" ca="1" si="3"/>
        <v>0</v>
      </c>
      <c r="L12" s="63"/>
      <c r="M12" s="390" t="str">
        <f t="shared" si="7"/>
        <v>L</v>
      </c>
      <c r="N12" s="431">
        <f ca="1">SUMIFS(INDIRECT("'Labor Costs'!$"&amp;$M12&amp;":$"&amp;$M12),'Labor Costs'!$C:$C,$N$7)</f>
        <v>0</v>
      </c>
      <c r="O12" s="431">
        <f>SUMIFS(Travel!$U:$U,Travel!$W:$W,'Task Order Cost Summary'!$B12&amp;".",Travel!$C:$C,'Task Order Cost Summary'!$N$7)+SUMIFS(Expenses!$G:$G,Expenses!$H:$H,'Task Order Cost Summary'!$B12&amp;".",Expenses!$C:$C,'Task Order Cost Summary'!$N$7)</f>
        <v>0</v>
      </c>
      <c r="P12" s="432">
        <f t="shared" ca="1" si="8"/>
        <v>0</v>
      </c>
      <c r="Q12" s="433">
        <f ca="1">SUMIFS(INDIRECT("'Labor Costs'!$"&amp;$M12&amp;":$"&amp;$M12),'Labor Costs'!$C:$C,$Q$7)</f>
        <v>0</v>
      </c>
      <c r="R12" s="433">
        <f>SUMIFS(Travel!$U:$U,Travel!$W:$W,'Task Order Cost Summary'!$B12&amp;".",Travel!$C:$C,'Task Order Cost Summary'!$Q$7)+SUMIFS(Expenses!$G:$G,Expenses!$H:$H,'Task Order Cost Summary'!$B12&amp;".",Expenses!$C:$C,'Task Order Cost Summary'!$Q$7)</f>
        <v>0</v>
      </c>
      <c r="S12" s="434">
        <f t="shared" ca="1" si="9"/>
        <v>0</v>
      </c>
      <c r="T12" s="435">
        <f ca="1">SUMIFS(INDIRECT("'Labor Costs'!$"&amp;$M12&amp;":$"&amp;$M12),'Labor Costs'!$C:$C,$T$7)</f>
        <v>0</v>
      </c>
      <c r="U12" s="435">
        <f>SUMIFS(Travel!$U:$U,Travel!$W:$W,'Task Order Cost Summary'!$B12&amp;".",Travel!$C:$C,'Task Order Cost Summary'!$T$7)+SUMIFS(Expenses!$G:$G,Expenses!$H:$H,'Task Order Cost Summary'!$B12&amp;".",Expenses!$C:$C,'Task Order Cost Summary'!$T$7)</f>
        <v>0</v>
      </c>
      <c r="V12" s="436">
        <f t="shared" ca="1" si="10"/>
        <v>0</v>
      </c>
      <c r="W12" s="437">
        <f t="shared" ca="1" si="11"/>
        <v>0</v>
      </c>
      <c r="X12" s="444" t="str">
        <f t="shared" ca="1" si="4"/>
        <v>OK</v>
      </c>
      <c r="Y12" s="444"/>
      <c r="Z12" s="445">
        <f t="shared" ca="1" si="12"/>
        <v>0</v>
      </c>
    </row>
    <row r="13" spans="1:27" ht="20.25" customHeight="1">
      <c r="A13" s="51" t="str">
        <f t="shared" si="5"/>
        <v>Subtask No. 5</v>
      </c>
      <c r="B13" s="266">
        <v>5</v>
      </c>
      <c r="C13" s="419" t="str">
        <f>VLOOKUP($A13,'Task Order Setup'!$A$1:$C$23,3,FALSE)</f>
        <v>.</v>
      </c>
      <c r="D13" s="402">
        <f>VLOOKUP($A13,'Labor Costs'!$A:$D,3,FALSE)</f>
        <v>0</v>
      </c>
      <c r="E13" s="403">
        <f>VLOOKUP($A13,Travel!$A:$D,3,FALSE)</f>
        <v>0</v>
      </c>
      <c r="F13" s="403">
        <f>+VLOOKUP($A13,Expenses!$A:$E,3,FALSE)</f>
        <v>0</v>
      </c>
      <c r="G13" s="404">
        <f t="shared" si="6"/>
        <v>0</v>
      </c>
      <c r="H13" s="416">
        <f t="shared" ca="1" si="0"/>
        <v>0</v>
      </c>
      <c r="I13" s="417">
        <f t="shared" ca="1" si="1"/>
        <v>0</v>
      </c>
      <c r="J13" s="417">
        <f t="shared" ca="1" si="2"/>
        <v>0</v>
      </c>
      <c r="K13" s="418">
        <f t="shared" ca="1" si="3"/>
        <v>0</v>
      </c>
      <c r="L13" s="63"/>
      <c r="M13" s="390" t="str">
        <f t="shared" si="7"/>
        <v>N</v>
      </c>
      <c r="N13" s="431">
        <f ca="1">SUMIFS(INDIRECT("'Labor Costs'!$"&amp;$M13&amp;":$"&amp;$M13),'Labor Costs'!$C:$C,$N$7)</f>
        <v>0</v>
      </c>
      <c r="O13" s="431">
        <f>SUMIFS(Travel!$U:$U,Travel!$W:$W,'Task Order Cost Summary'!$B13&amp;".",Travel!$C:$C,'Task Order Cost Summary'!$N$7)+SUMIFS(Expenses!$G:$G,Expenses!$H:$H,'Task Order Cost Summary'!$B13&amp;".",Expenses!$C:$C,'Task Order Cost Summary'!$N$7)</f>
        <v>0</v>
      </c>
      <c r="P13" s="432">
        <f t="shared" ca="1" si="8"/>
        <v>0</v>
      </c>
      <c r="Q13" s="433">
        <f ca="1">SUMIFS(INDIRECT("'Labor Costs'!$"&amp;$M13&amp;":$"&amp;$M13),'Labor Costs'!$C:$C,$Q$7)</f>
        <v>0</v>
      </c>
      <c r="R13" s="433">
        <f>SUMIFS(Travel!$U:$U,Travel!$W:$W,'Task Order Cost Summary'!$B13&amp;".",Travel!$C:$C,'Task Order Cost Summary'!$Q$7)+SUMIFS(Expenses!$G:$G,Expenses!$H:$H,'Task Order Cost Summary'!$B13&amp;".",Expenses!$C:$C,'Task Order Cost Summary'!$Q$7)</f>
        <v>0</v>
      </c>
      <c r="S13" s="434">
        <f t="shared" ca="1" si="9"/>
        <v>0</v>
      </c>
      <c r="T13" s="435">
        <f ca="1">SUMIFS(INDIRECT("'Labor Costs'!$"&amp;$M13&amp;":$"&amp;$M13),'Labor Costs'!$C:$C,$T$7)</f>
        <v>0</v>
      </c>
      <c r="U13" s="435">
        <f>SUMIFS(Travel!$U:$U,Travel!$W:$W,'Task Order Cost Summary'!$B13&amp;".",Travel!$C:$C,'Task Order Cost Summary'!$T$7)+SUMIFS(Expenses!$G:$G,Expenses!$H:$H,'Task Order Cost Summary'!$B13&amp;".",Expenses!$C:$C,'Task Order Cost Summary'!$T$7)</f>
        <v>0</v>
      </c>
      <c r="V13" s="436">
        <f t="shared" ca="1" si="10"/>
        <v>0</v>
      </c>
      <c r="W13" s="437">
        <f t="shared" ca="1" si="11"/>
        <v>0</v>
      </c>
      <c r="X13" s="444" t="str">
        <f t="shared" ca="1" si="4"/>
        <v>OK</v>
      </c>
      <c r="Y13" s="444"/>
      <c r="Z13" s="445">
        <f t="shared" ca="1" si="12"/>
        <v>0</v>
      </c>
    </row>
    <row r="14" spans="1:27" ht="20.25" customHeight="1">
      <c r="A14" s="51" t="str">
        <f t="shared" ref="A14:A16" si="13">$B$8&amp;" "&amp;B14</f>
        <v>Subtask No. 6</v>
      </c>
      <c r="B14" s="266">
        <v>6</v>
      </c>
      <c r="C14" s="419" t="str">
        <f>VLOOKUP($A14,'Task Order Setup'!$A$1:$C$23,3,FALSE)</f>
        <v>.</v>
      </c>
      <c r="D14" s="402">
        <f>VLOOKUP($A14,'Labor Costs'!$A:$D,3,FALSE)</f>
        <v>0</v>
      </c>
      <c r="E14" s="403">
        <f>VLOOKUP($A14,Travel!$A:$D,3,FALSE)</f>
        <v>0</v>
      </c>
      <c r="F14" s="403">
        <f>+VLOOKUP($A14,Expenses!$A:$E,3,FALSE)</f>
        <v>0</v>
      </c>
      <c r="G14" s="404">
        <f t="shared" ref="G14:G16" si="14">SUM(D14:F14)</f>
        <v>0</v>
      </c>
      <c r="H14" s="416">
        <f t="shared" ref="H14:H16" ca="1" si="15">IFERROR(P14/$W14,0)</f>
        <v>0</v>
      </c>
      <c r="I14" s="417">
        <f t="shared" ref="I14:I16" ca="1" si="16">IFERROR(S14/$W14,0)</f>
        <v>0</v>
      </c>
      <c r="J14" s="417">
        <f t="shared" ref="J14:J16" ca="1" si="17">IFERROR(V14/$W14,0)</f>
        <v>0</v>
      </c>
      <c r="K14" s="418">
        <f t="shared" ref="K14:K16" ca="1" si="18">SUM(H14:J14)</f>
        <v>0</v>
      </c>
      <c r="L14" s="63"/>
      <c r="M14" s="390" t="str">
        <f t="shared" ref="M14:M16" si="19">SUBSTITUTE(ADDRESS(1,B14*2+4,4),"1","")</f>
        <v>P</v>
      </c>
      <c r="N14" s="431">
        <f ca="1">SUMIFS(INDIRECT("'Labor Costs'!$"&amp;$M14&amp;":$"&amp;$M14),'Labor Costs'!$C:$C,$N$7)</f>
        <v>0</v>
      </c>
      <c r="O14" s="431">
        <f>SUMIFS(Travel!$U:$U,Travel!$W:$W,'Task Order Cost Summary'!$B14&amp;".",Travel!$C:$C,'Task Order Cost Summary'!$N$7)+SUMIFS(Expenses!$G:$G,Expenses!$H:$H,'Task Order Cost Summary'!$B14&amp;".",Expenses!$C:$C,'Task Order Cost Summary'!$N$7)</f>
        <v>0</v>
      </c>
      <c r="P14" s="432">
        <f t="shared" ref="P14:P16" ca="1" si="20">N14+O14</f>
        <v>0</v>
      </c>
      <c r="Q14" s="433">
        <f ca="1">SUMIFS(INDIRECT("'Labor Costs'!$"&amp;$M14&amp;":$"&amp;$M14),'Labor Costs'!$C:$C,$Q$7)</f>
        <v>0</v>
      </c>
      <c r="R14" s="433">
        <f>SUMIFS(Travel!$U:$U,Travel!$W:$W,'Task Order Cost Summary'!$B14&amp;".",Travel!$C:$C,'Task Order Cost Summary'!$Q$7)+SUMIFS(Expenses!$G:$G,Expenses!$H:$H,'Task Order Cost Summary'!$B14&amp;".",Expenses!$C:$C,'Task Order Cost Summary'!$Q$7)</f>
        <v>0</v>
      </c>
      <c r="S14" s="434">
        <f t="shared" ref="S14:S16" ca="1" si="21">Q14+R14</f>
        <v>0</v>
      </c>
      <c r="T14" s="435">
        <f ca="1">SUMIFS(INDIRECT("'Labor Costs'!$"&amp;$M14&amp;":$"&amp;$M14),'Labor Costs'!$C:$C,$T$7)</f>
        <v>0</v>
      </c>
      <c r="U14" s="435">
        <f>SUMIFS(Travel!$U:$U,Travel!$W:$W,'Task Order Cost Summary'!$B14&amp;".",Travel!$C:$C,'Task Order Cost Summary'!$T$7)+SUMIFS(Expenses!$G:$G,Expenses!$H:$H,'Task Order Cost Summary'!$B14&amp;".",Expenses!$C:$C,'Task Order Cost Summary'!$T$7)</f>
        <v>0</v>
      </c>
      <c r="V14" s="436">
        <f t="shared" ref="V14:V16" ca="1" si="22">T14+U14</f>
        <v>0</v>
      </c>
      <c r="W14" s="437">
        <f t="shared" ref="W14:W16" ca="1" si="23">P14+S14+V14</f>
        <v>0</v>
      </c>
      <c r="X14" s="444" t="str">
        <f t="shared" ref="X14:X16" ca="1" si="24">IF(G14=W14,"OK","Error")</f>
        <v>OK</v>
      </c>
      <c r="Y14" s="444"/>
      <c r="Z14" s="445">
        <f t="shared" ref="Z14:Z16" ca="1" si="25">G14-W14</f>
        <v>0</v>
      </c>
    </row>
    <row r="15" spans="1:27" ht="20.25" customHeight="1">
      <c r="A15" s="51" t="str">
        <f t="shared" si="13"/>
        <v>Subtask No. 7</v>
      </c>
      <c r="B15" s="266">
        <v>7</v>
      </c>
      <c r="C15" s="419" t="str">
        <f>VLOOKUP($A15,'Task Order Setup'!$A$1:$C$23,3,FALSE)</f>
        <v>.</v>
      </c>
      <c r="D15" s="402">
        <f>VLOOKUP($A15,'Labor Costs'!$A:$D,3,FALSE)</f>
        <v>0</v>
      </c>
      <c r="E15" s="403">
        <f>VLOOKUP($A15,Travel!$A:$D,3,FALSE)</f>
        <v>0</v>
      </c>
      <c r="F15" s="403">
        <f>+VLOOKUP($A15,Expenses!$A:$E,3,FALSE)</f>
        <v>0</v>
      </c>
      <c r="G15" s="404">
        <f t="shared" si="14"/>
        <v>0</v>
      </c>
      <c r="H15" s="416">
        <f t="shared" ca="1" si="15"/>
        <v>0</v>
      </c>
      <c r="I15" s="417">
        <f t="shared" ca="1" si="16"/>
        <v>0</v>
      </c>
      <c r="J15" s="417">
        <f t="shared" ca="1" si="17"/>
        <v>0</v>
      </c>
      <c r="K15" s="418">
        <f t="shared" ca="1" si="18"/>
        <v>0</v>
      </c>
      <c r="L15" s="63"/>
      <c r="M15" s="390" t="str">
        <f t="shared" si="19"/>
        <v>R</v>
      </c>
      <c r="N15" s="431">
        <f ca="1">SUMIFS(INDIRECT("'Labor Costs'!$"&amp;$M15&amp;":$"&amp;$M15),'Labor Costs'!$C:$C,$N$7)</f>
        <v>0</v>
      </c>
      <c r="O15" s="431">
        <f>SUMIFS(Travel!$U:$U,Travel!$W:$W,'Task Order Cost Summary'!$B15&amp;".",Travel!$C:$C,'Task Order Cost Summary'!$N$7)+SUMIFS(Expenses!$G:$G,Expenses!$H:$H,'Task Order Cost Summary'!$B15&amp;".",Expenses!$C:$C,'Task Order Cost Summary'!$N$7)</f>
        <v>0</v>
      </c>
      <c r="P15" s="432">
        <f t="shared" ca="1" si="20"/>
        <v>0</v>
      </c>
      <c r="Q15" s="433">
        <f ca="1">SUMIFS(INDIRECT("'Labor Costs'!$"&amp;$M15&amp;":$"&amp;$M15),'Labor Costs'!$C:$C,$Q$7)</f>
        <v>0</v>
      </c>
      <c r="R15" s="433">
        <f>SUMIFS(Travel!$U:$U,Travel!$W:$W,'Task Order Cost Summary'!$B15&amp;".",Travel!$C:$C,'Task Order Cost Summary'!$Q$7)+SUMIFS(Expenses!$G:$G,Expenses!$H:$H,'Task Order Cost Summary'!$B15&amp;".",Expenses!$C:$C,'Task Order Cost Summary'!$Q$7)</f>
        <v>0</v>
      </c>
      <c r="S15" s="434">
        <f t="shared" ca="1" si="21"/>
        <v>0</v>
      </c>
      <c r="T15" s="435">
        <f ca="1">SUMIFS(INDIRECT("'Labor Costs'!$"&amp;$M15&amp;":$"&amp;$M15),'Labor Costs'!$C:$C,$T$7)</f>
        <v>0</v>
      </c>
      <c r="U15" s="435">
        <f>SUMIFS(Travel!$U:$U,Travel!$W:$W,'Task Order Cost Summary'!$B15&amp;".",Travel!$C:$C,'Task Order Cost Summary'!$T$7)+SUMIFS(Expenses!$G:$G,Expenses!$H:$H,'Task Order Cost Summary'!$B15&amp;".",Expenses!$C:$C,'Task Order Cost Summary'!$T$7)</f>
        <v>0</v>
      </c>
      <c r="V15" s="436">
        <f t="shared" ca="1" si="22"/>
        <v>0</v>
      </c>
      <c r="W15" s="437">
        <f t="shared" ca="1" si="23"/>
        <v>0</v>
      </c>
      <c r="X15" s="444" t="str">
        <f t="shared" ca="1" si="24"/>
        <v>OK</v>
      </c>
      <c r="Y15" s="444"/>
      <c r="Z15" s="445">
        <f t="shared" ca="1" si="25"/>
        <v>0</v>
      </c>
    </row>
    <row r="16" spans="1:27" ht="20.25" customHeight="1">
      <c r="A16" s="51" t="str">
        <f t="shared" si="13"/>
        <v>Subtask No. 8</v>
      </c>
      <c r="B16" s="266">
        <v>8</v>
      </c>
      <c r="C16" s="419" t="str">
        <f>VLOOKUP($A16,'Task Order Setup'!$A$1:$C$23,3,FALSE)</f>
        <v>.</v>
      </c>
      <c r="D16" s="402">
        <f>VLOOKUP($A16,'Labor Costs'!$A:$D,3,FALSE)</f>
        <v>0</v>
      </c>
      <c r="E16" s="403">
        <f>VLOOKUP($A16,Travel!$A:$D,3,FALSE)</f>
        <v>0</v>
      </c>
      <c r="F16" s="403">
        <f>+VLOOKUP($A16,Expenses!$A:$E,3,FALSE)</f>
        <v>0</v>
      </c>
      <c r="G16" s="404">
        <f t="shared" si="14"/>
        <v>0</v>
      </c>
      <c r="H16" s="416">
        <f t="shared" ca="1" si="15"/>
        <v>0</v>
      </c>
      <c r="I16" s="417">
        <f t="shared" ca="1" si="16"/>
        <v>0</v>
      </c>
      <c r="J16" s="417">
        <f t="shared" ca="1" si="17"/>
        <v>0</v>
      </c>
      <c r="K16" s="418">
        <f t="shared" ca="1" si="18"/>
        <v>0</v>
      </c>
      <c r="L16" s="63"/>
      <c r="M16" s="390" t="str">
        <f t="shared" si="19"/>
        <v>T</v>
      </c>
      <c r="N16" s="431">
        <f ca="1">SUMIFS(INDIRECT("'Labor Costs'!$"&amp;$M16&amp;":$"&amp;$M16),'Labor Costs'!$C:$C,$N$7)</f>
        <v>0</v>
      </c>
      <c r="O16" s="431">
        <f>SUMIFS(Travel!$U:$U,Travel!$W:$W,'Task Order Cost Summary'!$B16&amp;".",Travel!$C:$C,'Task Order Cost Summary'!$N$7)+SUMIFS(Expenses!$G:$G,Expenses!$H:$H,'Task Order Cost Summary'!$B16&amp;".",Expenses!$C:$C,'Task Order Cost Summary'!$N$7)</f>
        <v>0</v>
      </c>
      <c r="P16" s="432">
        <f t="shared" ca="1" si="20"/>
        <v>0</v>
      </c>
      <c r="Q16" s="433">
        <f ca="1">SUMIFS(INDIRECT("'Labor Costs'!$"&amp;$M16&amp;":$"&amp;$M16),'Labor Costs'!$C:$C,$Q$7)</f>
        <v>0</v>
      </c>
      <c r="R16" s="433">
        <f>SUMIFS(Travel!$U:$U,Travel!$W:$W,'Task Order Cost Summary'!$B16&amp;".",Travel!$C:$C,'Task Order Cost Summary'!$Q$7)+SUMIFS(Expenses!$G:$G,Expenses!$H:$H,'Task Order Cost Summary'!$B16&amp;".",Expenses!$C:$C,'Task Order Cost Summary'!$Q$7)</f>
        <v>0</v>
      </c>
      <c r="S16" s="434">
        <f t="shared" ca="1" si="21"/>
        <v>0</v>
      </c>
      <c r="T16" s="435">
        <f ca="1">SUMIFS(INDIRECT("'Labor Costs'!$"&amp;$M16&amp;":$"&amp;$M16),'Labor Costs'!$C:$C,$T$7)</f>
        <v>0</v>
      </c>
      <c r="U16" s="435">
        <f>SUMIFS(Travel!$U:$U,Travel!$W:$W,'Task Order Cost Summary'!$B16&amp;".",Travel!$C:$C,'Task Order Cost Summary'!$T$7)+SUMIFS(Expenses!$G:$G,Expenses!$H:$H,'Task Order Cost Summary'!$B16&amp;".",Expenses!$C:$C,'Task Order Cost Summary'!$T$7)</f>
        <v>0</v>
      </c>
      <c r="V16" s="436">
        <f t="shared" ca="1" si="22"/>
        <v>0</v>
      </c>
      <c r="W16" s="437">
        <f t="shared" ca="1" si="23"/>
        <v>0</v>
      </c>
      <c r="X16" s="444" t="str">
        <f t="shared" ca="1" si="24"/>
        <v>OK</v>
      </c>
      <c r="Y16" s="444"/>
      <c r="Z16" s="445">
        <f t="shared" ca="1" si="25"/>
        <v>0</v>
      </c>
    </row>
    <row r="17" spans="1:26" ht="20.25" customHeight="1">
      <c r="A17" s="51" t="str">
        <f t="shared" si="5"/>
        <v>Subtask No. 9</v>
      </c>
      <c r="B17" s="266">
        <v>9</v>
      </c>
      <c r="C17" s="419" t="str">
        <f>VLOOKUP($A17,'Task Order Setup'!$A$1:$C$23,3,FALSE)</f>
        <v>.</v>
      </c>
      <c r="D17" s="402">
        <f>VLOOKUP($A17,'Labor Costs'!$A:$D,3,FALSE)</f>
        <v>0</v>
      </c>
      <c r="E17" s="403">
        <f>VLOOKUP($A17,Travel!$A:$D,3,FALSE)</f>
        <v>0</v>
      </c>
      <c r="F17" s="403">
        <f>+VLOOKUP($A17,Expenses!$A:$E,3,FALSE)</f>
        <v>0</v>
      </c>
      <c r="G17" s="404">
        <f t="shared" si="6"/>
        <v>0</v>
      </c>
      <c r="H17" s="416">
        <f t="shared" ca="1" si="0"/>
        <v>0</v>
      </c>
      <c r="I17" s="417">
        <f t="shared" ca="1" si="1"/>
        <v>0</v>
      </c>
      <c r="J17" s="417">
        <f t="shared" ca="1" si="2"/>
        <v>0</v>
      </c>
      <c r="K17" s="418">
        <f t="shared" ca="1" si="3"/>
        <v>0</v>
      </c>
      <c r="L17" s="63"/>
      <c r="M17" s="390" t="str">
        <f t="shared" si="7"/>
        <v>V</v>
      </c>
      <c r="N17" s="431">
        <f ca="1">SUMIFS(INDIRECT("'Labor Costs'!$"&amp;$M17&amp;":$"&amp;$M17),'Labor Costs'!$C:$C,$N$7)</f>
        <v>0</v>
      </c>
      <c r="O17" s="431">
        <f>SUMIFS(Travel!$U:$U,Travel!$W:$W,'Task Order Cost Summary'!$B17&amp;".",Travel!$C:$C,'Task Order Cost Summary'!$N$7)+SUMIFS(Expenses!$G:$G,Expenses!$H:$H,'Task Order Cost Summary'!$B17&amp;".",Expenses!$C:$C,'Task Order Cost Summary'!$N$7)</f>
        <v>0</v>
      </c>
      <c r="P17" s="432">
        <f t="shared" ca="1" si="8"/>
        <v>0</v>
      </c>
      <c r="Q17" s="433">
        <f ca="1">SUMIFS(INDIRECT("'Labor Costs'!$"&amp;$M17&amp;":$"&amp;$M17),'Labor Costs'!$C:$C,$Q$7)</f>
        <v>0</v>
      </c>
      <c r="R17" s="433">
        <f>SUMIFS(Travel!$U:$U,Travel!$W:$W,'Task Order Cost Summary'!$B17&amp;".",Travel!$C:$C,'Task Order Cost Summary'!$Q$7)+SUMIFS(Expenses!$G:$G,Expenses!$H:$H,'Task Order Cost Summary'!$B17&amp;".",Expenses!$C:$C,'Task Order Cost Summary'!$Q$7)</f>
        <v>0</v>
      </c>
      <c r="S17" s="434">
        <f t="shared" ca="1" si="9"/>
        <v>0</v>
      </c>
      <c r="T17" s="435">
        <f ca="1">SUMIFS(INDIRECT("'Labor Costs'!$"&amp;$M17&amp;":$"&amp;$M17),'Labor Costs'!$C:$C,$T$7)</f>
        <v>0</v>
      </c>
      <c r="U17" s="435">
        <f>SUMIFS(Travel!$U:$U,Travel!$W:$W,'Task Order Cost Summary'!$B17&amp;".",Travel!$C:$C,'Task Order Cost Summary'!$T$7)+SUMIFS(Expenses!$G:$G,Expenses!$H:$H,'Task Order Cost Summary'!$B17&amp;".",Expenses!$C:$C,'Task Order Cost Summary'!$T$7)</f>
        <v>0</v>
      </c>
      <c r="V17" s="436">
        <f t="shared" ca="1" si="10"/>
        <v>0</v>
      </c>
      <c r="W17" s="437">
        <f t="shared" ca="1" si="11"/>
        <v>0</v>
      </c>
      <c r="X17" s="444" t="str">
        <f t="shared" ca="1" si="4"/>
        <v>OK</v>
      </c>
      <c r="Y17" s="444"/>
      <c r="Z17" s="445">
        <f t="shared" ca="1" si="12"/>
        <v>0</v>
      </c>
    </row>
    <row r="18" spans="1:26" ht="18.75" customHeight="1" thickBot="1">
      <c r="B18" s="708"/>
      <c r="C18" s="709"/>
      <c r="D18" s="405">
        <f>SUM(D9:D17)</f>
        <v>59620</v>
      </c>
      <c r="E18" s="405">
        <f>SUM(E9:E17)</f>
        <v>3852</v>
      </c>
      <c r="F18" s="406">
        <f>SUM(F9:F17)</f>
        <v>3500</v>
      </c>
      <c r="G18" s="407">
        <f>SUM(G9:G17)</f>
        <v>66972</v>
      </c>
      <c r="H18" s="420">
        <f t="shared" ca="1" si="0"/>
        <v>0.52493333741992831</v>
      </c>
      <c r="I18" s="421">
        <f t="shared" ca="1" si="1"/>
        <v>0.47506666258007174</v>
      </c>
      <c r="J18" s="421">
        <f t="shared" ca="1" si="2"/>
        <v>0</v>
      </c>
      <c r="K18" s="422">
        <f t="shared" ca="1" si="3"/>
        <v>1</v>
      </c>
      <c r="L18" s="63"/>
      <c r="M18" s="63"/>
      <c r="N18" s="438">
        <f t="shared" ref="N18:W18" ca="1" si="26">SUM(N9:N17)</f>
        <v>31620</v>
      </c>
      <c r="O18" s="438">
        <f t="shared" si="26"/>
        <v>2634</v>
      </c>
      <c r="P18" s="438">
        <f t="shared" ca="1" si="26"/>
        <v>34254</v>
      </c>
      <c r="Q18" s="439">
        <f t="shared" ca="1" si="26"/>
        <v>28000</v>
      </c>
      <c r="R18" s="439">
        <f t="shared" si="26"/>
        <v>3000</v>
      </c>
      <c r="S18" s="439">
        <f t="shared" ca="1" si="26"/>
        <v>31000</v>
      </c>
      <c r="T18" s="440">
        <f t="shared" ca="1" si="26"/>
        <v>0</v>
      </c>
      <c r="U18" s="440">
        <f t="shared" si="26"/>
        <v>0</v>
      </c>
      <c r="V18" s="440">
        <f t="shared" ca="1" si="26"/>
        <v>0</v>
      </c>
      <c r="W18" s="441">
        <f t="shared" ca="1" si="26"/>
        <v>65254</v>
      </c>
      <c r="X18" s="444" t="str">
        <f t="shared" ca="1" si="4"/>
        <v>Error</v>
      </c>
      <c r="Y18" s="444"/>
      <c r="Z18" s="445">
        <f t="shared" ca="1" si="12"/>
        <v>1718</v>
      </c>
    </row>
    <row r="19" spans="1:26" ht="19" customHeight="1" thickTop="1">
      <c r="B19" s="710" t="s">
        <v>72</v>
      </c>
      <c r="C19" s="710"/>
      <c r="D19" s="710"/>
      <c r="E19" s="710"/>
      <c r="F19" s="710"/>
      <c r="G19" s="710"/>
      <c r="H19" s="710"/>
      <c r="I19" s="710"/>
      <c r="J19" s="710"/>
      <c r="K19" s="710"/>
      <c r="L19" s="63"/>
      <c r="M19" s="63"/>
      <c r="W19" s="71"/>
    </row>
    <row r="20" spans="1:26" ht="18">
      <c r="B20" s="72"/>
      <c r="C20" s="12"/>
      <c r="D20" s="11"/>
      <c r="E20" s="11"/>
      <c r="J20" s="446" t="s">
        <v>126</v>
      </c>
      <c r="K20" s="267">
        <f>G18</f>
        <v>66972</v>
      </c>
      <c r="L20" s="63"/>
      <c r="M20" s="63"/>
    </row>
    <row r="21" spans="1:26">
      <c r="B21" s="72"/>
      <c r="C21" s="72"/>
      <c r="D21" s="72"/>
      <c r="E21" s="72"/>
      <c r="F21" s="72"/>
      <c r="G21" s="72"/>
    </row>
    <row r="23" spans="1:26">
      <c r="B23" s="73"/>
      <c r="C23" s="73"/>
      <c r="D23" s="73"/>
      <c r="E23" s="73"/>
      <c r="F23" s="73"/>
      <c r="G23" s="73"/>
    </row>
    <row r="32" spans="1:26">
      <c r="A32" s="62"/>
      <c r="U32" s="70"/>
      <c r="V32" s="52"/>
    </row>
    <row r="33" spans="1:23" ht="16">
      <c r="A33" s="62"/>
      <c r="J33" s="390"/>
      <c r="U33" s="70"/>
      <c r="V33" s="52"/>
    </row>
    <row r="34" spans="1:23">
      <c r="A34" s="62"/>
      <c r="U34" s="70"/>
      <c r="V34" s="52"/>
      <c r="W34" s="74"/>
    </row>
    <row r="35" spans="1:23">
      <c r="A35" s="62"/>
      <c r="Q35" s="52"/>
      <c r="R35" s="52"/>
      <c r="S35" s="52"/>
      <c r="U35" s="70"/>
      <c r="V35" s="52"/>
    </row>
    <row r="36" spans="1:23">
      <c r="A36" s="62"/>
      <c r="Q36" s="52"/>
      <c r="R36" s="52"/>
      <c r="S36" s="52"/>
    </row>
    <row r="37" spans="1:23">
      <c r="A37" s="62"/>
      <c r="Q37" s="52"/>
      <c r="R37" s="52"/>
      <c r="S37" s="52"/>
      <c r="U37" s="70"/>
      <c r="V37" s="52"/>
      <c r="W37" s="74"/>
    </row>
    <row r="38" spans="1:23">
      <c r="A38" s="62"/>
      <c r="Q38" s="52"/>
      <c r="R38" s="52"/>
      <c r="S38" s="52"/>
    </row>
    <row r="39" spans="1:23">
      <c r="A39" s="62"/>
      <c r="Q39" s="52"/>
      <c r="R39" s="52"/>
      <c r="S39" s="52"/>
    </row>
    <row r="40" spans="1:23">
      <c r="A40" s="62"/>
      <c r="Q40" s="52"/>
      <c r="R40" s="52"/>
      <c r="S40" s="52"/>
      <c r="V40" s="52"/>
    </row>
  </sheetData>
  <mergeCells count="8">
    <mergeCell ref="B3:K3"/>
    <mergeCell ref="T7:V7"/>
    <mergeCell ref="B18:C18"/>
    <mergeCell ref="B19:K19"/>
    <mergeCell ref="N7:P7"/>
    <mergeCell ref="Q7:S7"/>
    <mergeCell ref="H7:K7"/>
    <mergeCell ref="D7:G7"/>
  </mergeCells>
  <phoneticPr fontId="3" type="noConversion"/>
  <conditionalFormatting sqref="K20 V19 B18 R10:S13 H9:L13 N9:S9 P10:P13 D18:W18 U17:W17 H17:L17 R17:S17 N10:O14 N17:P17 U9:W13">
    <cfRule type="cellIs" dxfId="20" priority="38" stopIfTrue="1" operator="equal">
      <formula>0</formula>
    </cfRule>
  </conditionalFormatting>
  <conditionalFormatting sqref="B9:G13 B17:G17">
    <cfRule type="cellIs" dxfId="19" priority="37" stopIfTrue="1" operator="equal">
      <formula>0</formula>
    </cfRule>
  </conditionalFormatting>
  <conditionalFormatting sqref="V20">
    <cfRule type="cellIs" dxfId="18" priority="35" stopIfTrue="1" operator="equal">
      <formula>0</formula>
    </cfRule>
  </conditionalFormatting>
  <conditionalFormatting sqref="P20">
    <cfRule type="cellIs" dxfId="17" priority="31" stopIfTrue="1" operator="equal">
      <formula>0</formula>
    </cfRule>
  </conditionalFormatting>
  <conditionalFormatting sqref="S19">
    <cfRule type="cellIs" dxfId="16" priority="34" stopIfTrue="1" operator="equal">
      <formula>0</formula>
    </cfRule>
  </conditionalFormatting>
  <conditionalFormatting sqref="S20">
    <cfRule type="cellIs" dxfId="15" priority="33" stopIfTrue="1" operator="equal">
      <formula>0</formula>
    </cfRule>
  </conditionalFormatting>
  <conditionalFormatting sqref="P19">
    <cfRule type="cellIs" dxfId="14" priority="32" stopIfTrue="1" operator="equal">
      <formula>0</formula>
    </cfRule>
  </conditionalFormatting>
  <conditionalFormatting sqref="Q10:Q13 Q17">
    <cfRule type="cellIs" dxfId="13" priority="28" stopIfTrue="1" operator="equal">
      <formula>0</formula>
    </cfRule>
  </conditionalFormatting>
  <conditionalFormatting sqref="P14 U14:W14 H14:L14 R14:S14">
    <cfRule type="cellIs" dxfId="12" priority="16" stopIfTrue="1" operator="equal">
      <formula>0</formula>
    </cfRule>
  </conditionalFormatting>
  <conditionalFormatting sqref="B14:G14">
    <cfRule type="cellIs" dxfId="11" priority="15" stopIfTrue="1" operator="equal">
      <formula>0</formula>
    </cfRule>
  </conditionalFormatting>
  <conditionalFormatting sqref="Q14">
    <cfRule type="cellIs" dxfId="10" priority="14" stopIfTrue="1" operator="equal">
      <formula>0</formula>
    </cfRule>
  </conditionalFormatting>
  <conditionalFormatting sqref="U15:W15 H15:L15 R15:S15 N15:P15">
    <cfRule type="cellIs" dxfId="9" priority="12" stopIfTrue="1" operator="equal">
      <formula>0</formula>
    </cfRule>
  </conditionalFormatting>
  <conditionalFormatting sqref="B15:G15">
    <cfRule type="cellIs" dxfId="8" priority="11" stopIfTrue="1" operator="equal">
      <formula>0</formula>
    </cfRule>
  </conditionalFormatting>
  <conditionalFormatting sqref="Q15">
    <cfRule type="cellIs" dxfId="7" priority="10" stopIfTrue="1" operator="equal">
      <formula>0</formula>
    </cfRule>
  </conditionalFormatting>
  <conditionalFormatting sqref="U16:W16 H16:L16 R16:S16 N16:P16">
    <cfRule type="cellIs" dxfId="6" priority="8" stopIfTrue="1" operator="equal">
      <formula>0</formula>
    </cfRule>
  </conditionalFormatting>
  <conditionalFormatting sqref="B16:G16">
    <cfRule type="cellIs" dxfId="5" priority="7" stopIfTrue="1" operator="equal">
      <formula>0</formula>
    </cfRule>
  </conditionalFormatting>
  <conditionalFormatting sqref="T16">
    <cfRule type="cellIs" dxfId="4" priority="1" stopIfTrue="1" operator="equal">
      <formula>0</formula>
    </cfRule>
  </conditionalFormatting>
  <conditionalFormatting sqref="Q16">
    <cfRule type="cellIs" dxfId="3" priority="6" stopIfTrue="1" operator="equal">
      <formula>0</formula>
    </cfRule>
  </conditionalFormatting>
  <conditionalFormatting sqref="T17 T9:T13">
    <cfRule type="cellIs" dxfId="2" priority="4" stopIfTrue="1" operator="equal">
      <formula>0</formula>
    </cfRule>
  </conditionalFormatting>
  <conditionalFormatting sqref="T14">
    <cfRule type="cellIs" dxfId="1" priority="3" stopIfTrue="1" operator="equal">
      <formula>0</formula>
    </cfRule>
  </conditionalFormatting>
  <conditionalFormatting sqref="T15">
    <cfRule type="cellIs" dxfId="0" priority="2" stopIfTrue="1" operator="equal">
      <formula>0</formula>
    </cfRule>
  </conditionalFormatting>
  <pageMargins left="0.75" right="0.75" top="1" bottom="1" header="0.5" footer="0.5"/>
  <pageSetup scale="58" fitToHeight="0" orientation="landscape" r:id="rId1"/>
  <headerFooter alignWithMargins="0">
    <oddFooter>&amp;Z&amp;F</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Z211"/>
  <sheetViews>
    <sheetView tabSelected="1" workbookViewId="0">
      <selection activeCell="C25" sqref="C25"/>
    </sheetView>
  </sheetViews>
  <sheetFormatPr baseColWidth="10" defaultColWidth="8.6640625" defaultRowHeight="13"/>
  <cols>
    <col min="1" max="1" width="24.5" customWidth="1"/>
    <col min="2" max="2" width="23" customWidth="1"/>
    <col min="3" max="3" width="22.5" bestFit="1" customWidth="1"/>
    <col min="4" max="4" width="12.1640625" customWidth="1"/>
    <col min="5" max="5" width="6.5" bestFit="1" customWidth="1"/>
    <col min="6" max="6" width="11.5" customWidth="1"/>
    <col min="7" max="7" width="8.83203125" customWidth="1"/>
    <col min="8" max="8" width="28" bestFit="1" customWidth="1"/>
    <col min="9" max="9" width="9.83203125" bestFit="1" customWidth="1"/>
    <col min="10" max="10" width="10.83203125" bestFit="1" customWidth="1"/>
    <col min="11" max="11" width="10.83203125" customWidth="1"/>
    <col min="12" max="26" width="13" customWidth="1"/>
  </cols>
  <sheetData>
    <row r="1" spans="1:26" s="531" customFormat="1" ht="20">
      <c r="A1" s="543"/>
      <c r="B1" s="526" t="str">
        <f>'Task Order Setup'!C1</f>
        <v>Task Order No. 1 Mod 0: General Consulting Services</v>
      </c>
      <c r="C1" s="527"/>
      <c r="D1" s="528"/>
      <c r="E1" s="529"/>
      <c r="F1" s="529"/>
      <c r="G1" s="530"/>
      <c r="H1" s="532"/>
      <c r="I1" s="533"/>
      <c r="J1" s="532"/>
      <c r="K1" s="532"/>
      <c r="L1" s="534"/>
      <c r="M1" s="534"/>
      <c r="N1" s="534"/>
      <c r="O1" s="534"/>
      <c r="P1" s="534"/>
      <c r="Q1" s="534"/>
      <c r="R1" s="534"/>
      <c r="S1" s="534"/>
      <c r="T1" s="534"/>
      <c r="U1" s="534"/>
      <c r="V1" s="534"/>
      <c r="W1" s="534"/>
      <c r="X1" s="534"/>
      <c r="Y1" s="534"/>
      <c r="Z1" s="534"/>
    </row>
    <row r="2" spans="1:26" s="531" customFormat="1" ht="19">
      <c r="A2" s="543"/>
      <c r="B2" s="535" t="str">
        <f>'Task Order Setup'!C2</f>
        <v>Agreement No. 47557A, Project No. 600</v>
      </c>
      <c r="C2" s="536"/>
      <c r="D2" s="537"/>
      <c r="E2" s="538"/>
      <c r="F2" s="538"/>
      <c r="G2" s="530"/>
      <c r="H2" s="532"/>
      <c r="I2" s="533"/>
      <c r="J2" s="532"/>
      <c r="K2" s="532"/>
      <c r="L2" s="534"/>
      <c r="M2" s="534"/>
      <c r="N2" s="534"/>
      <c r="O2" s="534"/>
      <c r="P2" s="534"/>
      <c r="Q2" s="534"/>
      <c r="R2" s="534"/>
      <c r="S2" s="534"/>
      <c r="T2" s="534"/>
      <c r="U2" s="534"/>
      <c r="V2" s="534"/>
      <c r="W2" s="534"/>
      <c r="X2" s="534"/>
      <c r="Y2" s="534"/>
      <c r="Z2" s="534"/>
    </row>
    <row r="3" spans="1:26" s="531" customFormat="1" ht="19">
      <c r="A3" s="543"/>
      <c r="B3" s="539" t="str">
        <f>'Task Order Setup'!C3</f>
        <v>Effective Period: 10/01/19-10/31/19</v>
      </c>
      <c r="C3" s="536"/>
      <c r="D3" s="537"/>
      <c r="E3" s="538"/>
      <c r="F3" s="538"/>
      <c r="G3" s="530"/>
      <c r="H3" s="532"/>
      <c r="I3" s="533"/>
      <c r="J3" s="532"/>
      <c r="K3" s="532"/>
      <c r="L3" s="534"/>
      <c r="M3" s="534"/>
      <c r="N3" s="534"/>
      <c r="O3" s="534"/>
      <c r="P3" s="534"/>
      <c r="Q3" s="534"/>
      <c r="R3" s="534"/>
      <c r="S3" s="534"/>
      <c r="T3" s="534"/>
      <c r="U3" s="534"/>
      <c r="V3" s="534"/>
      <c r="W3" s="534"/>
      <c r="X3" s="534"/>
      <c r="Y3" s="534"/>
      <c r="Z3" s="534"/>
    </row>
    <row r="4" spans="1:26" s="531" customFormat="1" ht="14">
      <c r="A4" s="540"/>
      <c r="B4" s="536"/>
      <c r="C4" s="536"/>
      <c r="D4" s="537"/>
      <c r="E4" s="529"/>
      <c r="F4" s="529"/>
      <c r="G4" s="530"/>
      <c r="H4" s="532"/>
      <c r="I4" s="533"/>
      <c r="J4" s="532"/>
      <c r="K4" s="532"/>
      <c r="L4" s="534"/>
      <c r="M4" s="534"/>
      <c r="N4" s="534"/>
      <c r="O4" s="534"/>
      <c r="P4" s="534"/>
      <c r="Q4" s="534"/>
      <c r="R4" s="534"/>
      <c r="S4" s="534"/>
      <c r="T4" s="534"/>
      <c r="U4" s="534"/>
      <c r="V4" s="534"/>
      <c r="W4" s="534"/>
      <c r="X4" s="534"/>
      <c r="Y4" s="534"/>
      <c r="Z4" s="534"/>
    </row>
    <row r="5" spans="1:26" s="531" customFormat="1" ht="19">
      <c r="A5" s="549" t="s">
        <v>243</v>
      </c>
      <c r="D5" s="541"/>
      <c r="E5" s="549">
        <v>2019</v>
      </c>
      <c r="F5" s="542"/>
      <c r="G5" s="530"/>
      <c r="H5" s="532"/>
      <c r="I5" s="533"/>
      <c r="J5" s="532"/>
      <c r="K5" s="532"/>
      <c r="L5" s="534"/>
      <c r="M5" s="534"/>
      <c r="N5" s="534"/>
      <c r="O5" s="534"/>
      <c r="P5" s="534"/>
      <c r="Q5" s="534"/>
      <c r="R5" s="534"/>
      <c r="S5" s="534"/>
      <c r="T5" s="534"/>
      <c r="U5" s="534"/>
      <c r="V5" s="534"/>
      <c r="W5" s="534"/>
      <c r="X5" s="534"/>
      <c r="Y5" s="534"/>
      <c r="Z5" s="534"/>
    </row>
    <row r="6" spans="1:26" s="531" customFormat="1" ht="14.25" customHeight="1" thickBot="1">
      <c r="A6" s="543"/>
      <c r="D6" s="541"/>
      <c r="E6" s="542"/>
      <c r="F6" s="542"/>
      <c r="G6" s="530"/>
      <c r="H6" s="532"/>
      <c r="I6" s="533"/>
      <c r="J6" s="534"/>
      <c r="K6" s="534"/>
      <c r="L6" s="534"/>
      <c r="M6" s="534"/>
      <c r="N6" s="534"/>
      <c r="O6" s="534"/>
      <c r="P6" s="534"/>
      <c r="Q6" s="534"/>
      <c r="R6" s="534"/>
      <c r="S6" s="534"/>
      <c r="T6" s="534"/>
      <c r="U6" s="534"/>
      <c r="V6" s="534"/>
      <c r="W6" s="534"/>
      <c r="X6" s="534"/>
      <c r="Y6" s="534"/>
      <c r="Z6" s="534"/>
    </row>
    <row r="7" spans="1:26" s="546" customFormat="1" ht="17" thickTop="1" thickBot="1">
      <c r="A7" s="624" t="s">
        <v>9</v>
      </c>
      <c r="B7" s="625" t="s">
        <v>74</v>
      </c>
      <c r="C7" s="626" t="s">
        <v>77</v>
      </c>
      <c r="D7" s="627" t="str">
        <f>CONCATENATE(E5," Rates")</f>
        <v>2019 Rates</v>
      </c>
      <c r="E7" s="628" t="s">
        <v>348</v>
      </c>
      <c r="F7" s="628" t="s">
        <v>180</v>
      </c>
      <c r="G7" s="544"/>
      <c r="H7" s="557" t="s">
        <v>131</v>
      </c>
      <c r="I7" s="688" t="s">
        <v>348</v>
      </c>
      <c r="J7" s="545"/>
      <c r="K7" s="545"/>
      <c r="L7" s="534"/>
      <c r="M7" s="534"/>
      <c r="N7" s="534"/>
      <c r="O7" s="534"/>
      <c r="P7" s="534"/>
      <c r="Q7" s="534"/>
      <c r="R7" s="534"/>
      <c r="S7" s="534"/>
      <c r="T7" s="534"/>
      <c r="U7" s="534"/>
      <c r="V7" s="534"/>
      <c r="W7" s="534"/>
      <c r="X7" s="534"/>
      <c r="Y7" s="534"/>
      <c r="Z7" s="534"/>
    </row>
    <row r="8" spans="1:26" s="531" customFormat="1" ht="16" thickTop="1">
      <c r="A8" s="629" t="s">
        <v>80</v>
      </c>
      <c r="B8" s="630" t="s">
        <v>79</v>
      </c>
      <c r="D8" s="633" t="s">
        <v>0</v>
      </c>
      <c r="E8" s="634" t="s">
        <v>0</v>
      </c>
      <c r="F8" s="631"/>
      <c r="G8" s="544"/>
      <c r="H8" s="558" t="s">
        <v>79</v>
      </c>
      <c r="I8" s="559" t="s">
        <v>80</v>
      </c>
      <c r="J8" s="547"/>
      <c r="K8" s="534"/>
      <c r="L8" s="534"/>
      <c r="M8" s="534"/>
      <c r="N8" s="534"/>
      <c r="O8" s="534"/>
      <c r="P8" s="534"/>
      <c r="Q8" s="534"/>
      <c r="R8" s="534"/>
      <c r="S8" s="534"/>
      <c r="T8" s="534"/>
      <c r="U8" s="534"/>
      <c r="V8" s="534"/>
      <c r="W8" s="534"/>
      <c r="X8" s="534"/>
      <c r="Y8" s="534"/>
      <c r="Z8" s="534"/>
    </row>
    <row r="9" spans="1:26" s="531" customFormat="1" ht="15">
      <c r="A9" t="s">
        <v>177</v>
      </c>
      <c r="B9" t="s">
        <v>107</v>
      </c>
      <c r="C9" t="s">
        <v>81</v>
      </c>
      <c r="D9">
        <v>235</v>
      </c>
      <c r="E9" t="s">
        <v>82</v>
      </c>
      <c r="F9" t="s">
        <v>350</v>
      </c>
      <c r="G9" s="544"/>
      <c r="H9" t="s">
        <v>81</v>
      </c>
      <c r="I9" t="s">
        <v>82</v>
      </c>
      <c r="J9" s="547"/>
      <c r="K9" s="534"/>
      <c r="L9" s="534"/>
      <c r="M9" s="534"/>
      <c r="N9" s="534"/>
      <c r="O9" s="534"/>
      <c r="P9" s="534"/>
      <c r="Q9" s="534"/>
      <c r="R9" s="534"/>
      <c r="S9" s="534"/>
      <c r="T9" s="534"/>
      <c r="U9" s="534"/>
      <c r="V9" s="534"/>
      <c r="W9" s="534"/>
      <c r="X9" s="534"/>
      <c r="Y9" s="534"/>
      <c r="Z9" s="534"/>
    </row>
    <row r="10" spans="1:26" s="534" customFormat="1" ht="14">
      <c r="A10" t="s">
        <v>138</v>
      </c>
      <c r="B10" t="s">
        <v>112</v>
      </c>
      <c r="C10" t="s">
        <v>81</v>
      </c>
      <c r="D10">
        <v>221</v>
      </c>
      <c r="E10" t="s">
        <v>82</v>
      </c>
      <c r="F10" t="s">
        <v>350</v>
      </c>
      <c r="G10" s="544"/>
      <c r="H10" t="s">
        <v>240</v>
      </c>
      <c r="I10" t="s">
        <v>83</v>
      </c>
      <c r="J10" s="548"/>
      <c r="K10" s="548"/>
    </row>
    <row r="11" spans="1:26" s="534" customFormat="1" ht="14">
      <c r="A11" t="s">
        <v>139</v>
      </c>
      <c r="B11" t="s">
        <v>112</v>
      </c>
      <c r="C11" t="s">
        <v>81</v>
      </c>
      <c r="D11">
        <v>221</v>
      </c>
      <c r="E11" t="s">
        <v>82</v>
      </c>
      <c r="F11" t="s">
        <v>350</v>
      </c>
      <c r="G11" s="544"/>
      <c r="H11" t="s">
        <v>241</v>
      </c>
      <c r="I11" t="s">
        <v>83</v>
      </c>
      <c r="J11" s="548"/>
      <c r="K11" s="548"/>
    </row>
    <row r="12" spans="1:26" s="534" customFormat="1" ht="14">
      <c r="A12" t="s">
        <v>140</v>
      </c>
      <c r="B12" t="s">
        <v>113</v>
      </c>
      <c r="C12" t="s">
        <v>81</v>
      </c>
      <c r="D12">
        <v>200</v>
      </c>
      <c r="E12" t="s">
        <v>82</v>
      </c>
      <c r="F12" t="s">
        <v>350</v>
      </c>
      <c r="G12" s="544"/>
      <c r="H12" t="s">
        <v>237</v>
      </c>
      <c r="I12" t="s">
        <v>83</v>
      </c>
      <c r="J12" s="548"/>
      <c r="K12" s="548"/>
    </row>
    <row r="13" spans="1:26" s="534" customFormat="1" ht="14">
      <c r="A13" t="s">
        <v>142</v>
      </c>
      <c r="B13" t="s">
        <v>113</v>
      </c>
      <c r="C13" t="s">
        <v>81</v>
      </c>
      <c r="D13">
        <v>200</v>
      </c>
      <c r="E13" t="s">
        <v>82</v>
      </c>
      <c r="F13" t="s">
        <v>350</v>
      </c>
      <c r="G13" s="544"/>
      <c r="H13" t="s">
        <v>130</v>
      </c>
      <c r="I13" t="s">
        <v>83</v>
      </c>
      <c r="J13" s="548"/>
      <c r="K13" s="548"/>
    </row>
    <row r="14" spans="1:26" s="534" customFormat="1" ht="14">
      <c r="A14" t="s">
        <v>143</v>
      </c>
      <c r="B14" t="s">
        <v>113</v>
      </c>
      <c r="C14" t="s">
        <v>81</v>
      </c>
      <c r="D14">
        <v>200</v>
      </c>
      <c r="E14" t="s">
        <v>82</v>
      </c>
      <c r="F14" t="s">
        <v>350</v>
      </c>
      <c r="G14" s="544"/>
      <c r="H14" t="s">
        <v>232</v>
      </c>
      <c r="I14" t="s">
        <v>83</v>
      </c>
      <c r="J14" s="548"/>
      <c r="K14" s="548"/>
    </row>
    <row r="15" spans="1:26" s="534" customFormat="1" ht="14">
      <c r="A15" t="s">
        <v>144</v>
      </c>
      <c r="B15" t="s">
        <v>108</v>
      </c>
      <c r="C15" t="s">
        <v>81</v>
      </c>
      <c r="D15">
        <v>174</v>
      </c>
      <c r="E15" t="s">
        <v>82</v>
      </c>
      <c r="F15" t="s">
        <v>350</v>
      </c>
      <c r="G15" s="544"/>
      <c r="H15" t="s">
        <v>127</v>
      </c>
      <c r="I15" t="s">
        <v>83</v>
      </c>
      <c r="J15" s="548"/>
      <c r="K15" s="548"/>
    </row>
    <row r="16" spans="1:26" s="534" customFormat="1" ht="14">
      <c r="A16" t="s">
        <v>145</v>
      </c>
      <c r="B16" t="s">
        <v>108</v>
      </c>
      <c r="C16" t="s">
        <v>81</v>
      </c>
      <c r="D16">
        <v>174</v>
      </c>
      <c r="E16" t="s">
        <v>82</v>
      </c>
      <c r="F16" t="s">
        <v>350</v>
      </c>
      <c r="G16" s="544"/>
      <c r="H16" t="s">
        <v>235</v>
      </c>
      <c r="I16" t="s">
        <v>83</v>
      </c>
      <c r="J16" s="548"/>
      <c r="K16" s="548"/>
    </row>
    <row r="17" spans="1:11" s="534" customFormat="1" ht="14">
      <c r="A17" t="s">
        <v>146</v>
      </c>
      <c r="B17" t="s">
        <v>108</v>
      </c>
      <c r="C17" t="s">
        <v>81</v>
      </c>
      <c r="D17">
        <v>174</v>
      </c>
      <c r="E17" t="s">
        <v>82</v>
      </c>
      <c r="F17" t="s">
        <v>350</v>
      </c>
      <c r="G17" s="544"/>
      <c r="H17" t="s">
        <v>239</v>
      </c>
      <c r="I17" t="s">
        <v>83</v>
      </c>
      <c r="J17" s="548"/>
      <c r="K17" s="548"/>
    </row>
    <row r="18" spans="1:11" s="534" customFormat="1" ht="14">
      <c r="A18" t="s">
        <v>147</v>
      </c>
      <c r="B18" t="s">
        <v>88</v>
      </c>
      <c r="C18" t="s">
        <v>81</v>
      </c>
      <c r="D18">
        <v>151</v>
      </c>
      <c r="E18" t="s">
        <v>82</v>
      </c>
      <c r="F18" t="s">
        <v>350</v>
      </c>
      <c r="G18" s="544"/>
      <c r="H18" t="s">
        <v>238</v>
      </c>
      <c r="I18" t="s">
        <v>105</v>
      </c>
      <c r="J18" s="548"/>
      <c r="K18" s="548"/>
    </row>
    <row r="19" spans="1:11" s="534" customFormat="1" ht="14">
      <c r="A19" t="s">
        <v>148</v>
      </c>
      <c r="B19" t="s">
        <v>88</v>
      </c>
      <c r="C19" t="s">
        <v>81</v>
      </c>
      <c r="D19">
        <v>151</v>
      </c>
      <c r="E19" t="s">
        <v>82</v>
      </c>
      <c r="F19" t="s">
        <v>350</v>
      </c>
      <c r="G19" s="544"/>
      <c r="H19" t="s">
        <v>233</v>
      </c>
      <c r="I19" t="s">
        <v>105</v>
      </c>
      <c r="J19" s="548"/>
      <c r="K19" s="548"/>
    </row>
    <row r="20" spans="1:11" s="534" customFormat="1" ht="14">
      <c r="A20" t="s">
        <v>149</v>
      </c>
      <c r="B20" t="s">
        <v>88</v>
      </c>
      <c r="C20" t="s">
        <v>81</v>
      </c>
      <c r="D20">
        <v>151</v>
      </c>
      <c r="E20" t="s">
        <v>82</v>
      </c>
      <c r="F20" t="s">
        <v>350</v>
      </c>
      <c r="G20" s="544"/>
      <c r="H20" t="s">
        <v>106</v>
      </c>
      <c r="I20" t="s">
        <v>105</v>
      </c>
      <c r="J20" s="548"/>
      <c r="K20" s="548"/>
    </row>
    <row r="21" spans="1:11" s="534" customFormat="1" ht="14">
      <c r="A21" t="s">
        <v>150</v>
      </c>
      <c r="B21" t="s">
        <v>88</v>
      </c>
      <c r="C21" t="s">
        <v>81</v>
      </c>
      <c r="D21">
        <v>151</v>
      </c>
      <c r="E21" t="s">
        <v>82</v>
      </c>
      <c r="F21" t="s">
        <v>350</v>
      </c>
      <c r="G21" s="544"/>
      <c r="H21" t="s">
        <v>178</v>
      </c>
      <c r="I21" t="s">
        <v>105</v>
      </c>
      <c r="J21" s="548"/>
      <c r="K21" s="548"/>
    </row>
    <row r="22" spans="1:11" s="534" customFormat="1" ht="15" customHeight="1">
      <c r="A22" t="s">
        <v>151</v>
      </c>
      <c r="B22" t="s">
        <v>2</v>
      </c>
      <c r="C22" t="s">
        <v>81</v>
      </c>
      <c r="D22">
        <v>127</v>
      </c>
      <c r="E22" t="s">
        <v>82</v>
      </c>
      <c r="F22" t="s">
        <v>350</v>
      </c>
      <c r="G22" s="544"/>
      <c r="H22" t="s">
        <v>234</v>
      </c>
      <c r="I22" t="s">
        <v>105</v>
      </c>
      <c r="J22" s="548"/>
      <c r="K22" s="548"/>
    </row>
    <row r="23" spans="1:11" s="534" customFormat="1" ht="14">
      <c r="A23" t="s">
        <v>152</v>
      </c>
      <c r="B23" t="s">
        <v>2</v>
      </c>
      <c r="C23" t="s">
        <v>81</v>
      </c>
      <c r="D23">
        <v>127</v>
      </c>
      <c r="E23" t="s">
        <v>82</v>
      </c>
      <c r="F23" t="s">
        <v>350</v>
      </c>
      <c r="G23" s="544"/>
      <c r="H23" t="s">
        <v>85</v>
      </c>
      <c r="I23" t="s">
        <v>105</v>
      </c>
      <c r="J23" s="548"/>
      <c r="K23" s="548"/>
    </row>
    <row r="24" spans="1:11" s="534" customFormat="1" ht="14">
      <c r="A24" t="s">
        <v>176</v>
      </c>
      <c r="B24" t="s">
        <v>2</v>
      </c>
      <c r="C24" t="s">
        <v>81</v>
      </c>
      <c r="D24">
        <v>127</v>
      </c>
      <c r="E24" t="s">
        <v>82</v>
      </c>
      <c r="F24" t="s">
        <v>350</v>
      </c>
      <c r="G24" s="544"/>
      <c r="H24" t="s">
        <v>236</v>
      </c>
      <c r="I24" t="s">
        <v>105</v>
      </c>
      <c r="J24" s="548"/>
      <c r="K24" s="548"/>
    </row>
    <row r="25" spans="1:11" s="534" customFormat="1" ht="14">
      <c r="A25" t="s">
        <v>185</v>
      </c>
      <c r="B25" t="s">
        <v>69</v>
      </c>
      <c r="C25" t="s">
        <v>81</v>
      </c>
      <c r="D25">
        <v>104</v>
      </c>
      <c r="E25" t="s">
        <v>82</v>
      </c>
      <c r="F25" t="s">
        <v>350</v>
      </c>
      <c r="G25" s="544"/>
      <c r="H25" t="s">
        <v>84</v>
      </c>
      <c r="I25" t="s">
        <v>105</v>
      </c>
      <c r="J25" s="548"/>
      <c r="K25" s="548"/>
    </row>
    <row r="26" spans="1:11" s="534" customFormat="1" ht="14">
      <c r="A26" t="s">
        <v>186</v>
      </c>
      <c r="B26" t="s">
        <v>70</v>
      </c>
      <c r="C26" t="s">
        <v>81</v>
      </c>
      <c r="D26">
        <v>83</v>
      </c>
      <c r="E26" t="s">
        <v>82</v>
      </c>
      <c r="F26" t="s">
        <v>350</v>
      </c>
      <c r="G26" s="544"/>
      <c r="H26" t="s">
        <v>245</v>
      </c>
      <c r="I26" t="s">
        <v>105</v>
      </c>
      <c r="J26" s="548"/>
      <c r="K26" s="548"/>
    </row>
    <row r="27" spans="1:11" s="534" customFormat="1" ht="14">
      <c r="A27" t="s">
        <v>187</v>
      </c>
      <c r="B27" t="s">
        <v>73</v>
      </c>
      <c r="C27" t="s">
        <v>81</v>
      </c>
      <c r="D27">
        <v>59</v>
      </c>
      <c r="E27" t="s">
        <v>82</v>
      </c>
      <c r="F27" t="s">
        <v>350</v>
      </c>
      <c r="G27" s="544"/>
      <c r="H27" t="s">
        <v>246</v>
      </c>
      <c r="I27" t="s">
        <v>105</v>
      </c>
      <c r="J27" s="548"/>
      <c r="K27" s="548"/>
    </row>
    <row r="28" spans="1:11" s="534" customFormat="1" ht="14">
      <c r="A28" t="s">
        <v>157</v>
      </c>
      <c r="B28" t="s">
        <v>228</v>
      </c>
      <c r="C28" t="s">
        <v>85</v>
      </c>
      <c r="D28">
        <v>218.32</v>
      </c>
      <c r="E28" t="s">
        <v>105</v>
      </c>
      <c r="F28" t="s">
        <v>351</v>
      </c>
      <c r="G28" s="544"/>
      <c r="H28" s="558"/>
      <c r="I28" s="559"/>
      <c r="J28" s="548"/>
      <c r="K28" s="548"/>
    </row>
    <row r="29" spans="1:11">
      <c r="A29" t="s">
        <v>158</v>
      </c>
      <c r="B29" t="s">
        <v>229</v>
      </c>
      <c r="C29" t="s">
        <v>85</v>
      </c>
      <c r="D29">
        <v>197</v>
      </c>
      <c r="E29" t="s">
        <v>105</v>
      </c>
      <c r="F29" t="s">
        <v>351</v>
      </c>
    </row>
    <row r="30" spans="1:11">
      <c r="A30" t="s">
        <v>164</v>
      </c>
      <c r="B30" t="s">
        <v>88</v>
      </c>
      <c r="C30" t="s">
        <v>85</v>
      </c>
      <c r="D30">
        <v>182.78</v>
      </c>
      <c r="E30" t="s">
        <v>105</v>
      </c>
      <c r="F30" t="s">
        <v>351</v>
      </c>
    </row>
    <row r="31" spans="1:11">
      <c r="A31" t="s">
        <v>169</v>
      </c>
      <c r="B31" t="s">
        <v>88</v>
      </c>
      <c r="C31" t="s">
        <v>85</v>
      </c>
      <c r="D31">
        <v>182.78</v>
      </c>
      <c r="E31" t="s">
        <v>105</v>
      </c>
      <c r="F31" t="s">
        <v>351</v>
      </c>
    </row>
    <row r="32" spans="1:11">
      <c r="A32" t="s">
        <v>170</v>
      </c>
      <c r="B32" t="s">
        <v>89</v>
      </c>
      <c r="C32" t="s">
        <v>85</v>
      </c>
      <c r="D32">
        <v>155.4</v>
      </c>
      <c r="E32" t="s">
        <v>105</v>
      </c>
      <c r="F32" t="s">
        <v>351</v>
      </c>
    </row>
    <row r="33" spans="1:6">
      <c r="A33" t="s">
        <v>160</v>
      </c>
      <c r="B33" t="s">
        <v>89</v>
      </c>
      <c r="C33" t="s">
        <v>85</v>
      </c>
      <c r="D33">
        <v>155.4</v>
      </c>
      <c r="E33" t="s">
        <v>105</v>
      </c>
      <c r="F33" t="s">
        <v>351</v>
      </c>
    </row>
    <row r="34" spans="1:6">
      <c r="A34" t="s">
        <v>161</v>
      </c>
      <c r="B34" t="s">
        <v>89</v>
      </c>
      <c r="C34" t="s">
        <v>85</v>
      </c>
      <c r="D34">
        <v>155.4</v>
      </c>
      <c r="E34" t="s">
        <v>105</v>
      </c>
      <c r="F34" t="s">
        <v>351</v>
      </c>
    </row>
    <row r="35" spans="1:6">
      <c r="A35" t="s">
        <v>224</v>
      </c>
      <c r="B35" t="s">
        <v>89</v>
      </c>
      <c r="C35" t="s">
        <v>85</v>
      </c>
      <c r="D35">
        <v>155.4</v>
      </c>
      <c r="E35" t="s">
        <v>105</v>
      </c>
      <c r="F35" t="s">
        <v>351</v>
      </c>
    </row>
    <row r="36" spans="1:6">
      <c r="A36" t="s">
        <v>159</v>
      </c>
      <c r="B36" t="s">
        <v>89</v>
      </c>
      <c r="C36" t="s">
        <v>85</v>
      </c>
      <c r="D36">
        <v>155.4</v>
      </c>
      <c r="E36" t="s">
        <v>105</v>
      </c>
      <c r="F36" t="s">
        <v>351</v>
      </c>
    </row>
    <row r="37" spans="1:6">
      <c r="A37" t="s">
        <v>166</v>
      </c>
      <c r="B37" t="s">
        <v>230</v>
      </c>
      <c r="C37" t="s">
        <v>85</v>
      </c>
      <c r="D37">
        <v>140.1</v>
      </c>
      <c r="E37" t="s">
        <v>105</v>
      </c>
      <c r="F37" t="s">
        <v>351</v>
      </c>
    </row>
    <row r="38" spans="1:6">
      <c r="A38" t="s">
        <v>167</v>
      </c>
      <c r="B38" t="s">
        <v>230</v>
      </c>
      <c r="C38" t="s">
        <v>85</v>
      </c>
      <c r="D38">
        <v>140.1</v>
      </c>
      <c r="E38" t="s">
        <v>105</v>
      </c>
      <c r="F38" t="s">
        <v>351</v>
      </c>
    </row>
    <row r="39" spans="1:6">
      <c r="A39" t="s">
        <v>163</v>
      </c>
      <c r="B39" t="s">
        <v>108</v>
      </c>
      <c r="C39" t="s">
        <v>85</v>
      </c>
      <c r="D39">
        <v>133.41</v>
      </c>
      <c r="E39" t="s">
        <v>105</v>
      </c>
      <c r="F39" t="s">
        <v>351</v>
      </c>
    </row>
    <row r="40" spans="1:6">
      <c r="A40" t="s">
        <v>162</v>
      </c>
      <c r="B40" t="s">
        <v>108</v>
      </c>
      <c r="C40" t="s">
        <v>85</v>
      </c>
      <c r="D40">
        <v>133.41</v>
      </c>
      <c r="E40" t="s">
        <v>105</v>
      </c>
      <c r="F40" t="s">
        <v>351</v>
      </c>
    </row>
    <row r="41" spans="1:6">
      <c r="A41" t="s">
        <v>165</v>
      </c>
      <c r="B41" t="s">
        <v>87</v>
      </c>
      <c r="C41" t="s">
        <v>85</v>
      </c>
      <c r="D41">
        <v>128.15</v>
      </c>
      <c r="E41" t="s">
        <v>105</v>
      </c>
      <c r="F41" t="s">
        <v>351</v>
      </c>
    </row>
    <row r="42" spans="1:6">
      <c r="A42" t="s">
        <v>168</v>
      </c>
      <c r="B42" t="s">
        <v>87</v>
      </c>
      <c r="C42" t="s">
        <v>85</v>
      </c>
      <c r="D42">
        <v>128.15</v>
      </c>
      <c r="E42" t="s">
        <v>105</v>
      </c>
      <c r="F42" t="s">
        <v>351</v>
      </c>
    </row>
    <row r="43" spans="1:6">
      <c r="A43" t="s">
        <v>225</v>
      </c>
      <c r="B43" t="s">
        <v>231</v>
      </c>
      <c r="C43" t="s">
        <v>85</v>
      </c>
      <c r="D43">
        <v>124.84</v>
      </c>
      <c r="E43" t="s">
        <v>105</v>
      </c>
      <c r="F43" t="s">
        <v>351</v>
      </c>
    </row>
    <row r="44" spans="1:6">
      <c r="A44" t="s">
        <v>171</v>
      </c>
      <c r="B44" t="s">
        <v>109</v>
      </c>
      <c r="C44" t="s">
        <v>85</v>
      </c>
      <c r="D44">
        <v>115.46</v>
      </c>
      <c r="E44" t="s">
        <v>105</v>
      </c>
      <c r="F44" t="s">
        <v>351</v>
      </c>
    </row>
    <row r="45" spans="1:6">
      <c r="A45" t="s">
        <v>226</v>
      </c>
      <c r="B45" t="s">
        <v>109</v>
      </c>
      <c r="C45" t="s">
        <v>85</v>
      </c>
      <c r="D45">
        <v>115.46</v>
      </c>
      <c r="E45" t="s">
        <v>105</v>
      </c>
      <c r="F45" t="s">
        <v>351</v>
      </c>
    </row>
    <row r="46" spans="1:6">
      <c r="A46" t="s">
        <v>172</v>
      </c>
      <c r="B46" t="s">
        <v>110</v>
      </c>
      <c r="C46" t="s">
        <v>85</v>
      </c>
      <c r="D46">
        <v>103</v>
      </c>
      <c r="E46" t="s">
        <v>105</v>
      </c>
      <c r="F46" t="s">
        <v>351</v>
      </c>
    </row>
    <row r="47" spans="1:6">
      <c r="A47" t="s">
        <v>173</v>
      </c>
      <c r="B47" t="s">
        <v>110</v>
      </c>
      <c r="C47" t="s">
        <v>85</v>
      </c>
      <c r="D47">
        <v>103</v>
      </c>
      <c r="E47" t="s">
        <v>105</v>
      </c>
      <c r="F47" t="s">
        <v>351</v>
      </c>
    </row>
    <row r="48" spans="1:6">
      <c r="A48" t="s">
        <v>227</v>
      </c>
      <c r="B48" t="s">
        <v>111</v>
      </c>
      <c r="C48" t="s">
        <v>85</v>
      </c>
      <c r="D48">
        <v>92</v>
      </c>
      <c r="E48" t="s">
        <v>105</v>
      </c>
      <c r="F48" t="s">
        <v>351</v>
      </c>
    </row>
    <row r="49" spans="1:6">
      <c r="A49" t="s">
        <v>174</v>
      </c>
      <c r="B49" t="s">
        <v>111</v>
      </c>
      <c r="C49" t="s">
        <v>85</v>
      </c>
      <c r="D49">
        <v>92</v>
      </c>
      <c r="E49" t="s">
        <v>105</v>
      </c>
      <c r="F49" t="s">
        <v>351</v>
      </c>
    </row>
    <row r="50" spans="1:6">
      <c r="A50" t="s">
        <v>154</v>
      </c>
      <c r="B50" t="s">
        <v>86</v>
      </c>
      <c r="C50" t="s">
        <v>84</v>
      </c>
      <c r="D50">
        <v>348.82848000000001</v>
      </c>
      <c r="E50" t="s">
        <v>105</v>
      </c>
      <c r="F50" t="s">
        <v>352</v>
      </c>
    </row>
    <row r="51" spans="1:6">
      <c r="A51" t="s">
        <v>175</v>
      </c>
      <c r="B51" t="s">
        <v>71</v>
      </c>
      <c r="C51" t="s">
        <v>84</v>
      </c>
      <c r="D51">
        <v>278.4375</v>
      </c>
      <c r="E51" t="s">
        <v>105</v>
      </c>
      <c r="F51" t="s">
        <v>352</v>
      </c>
    </row>
    <row r="52" spans="1:6">
      <c r="A52" t="s">
        <v>209</v>
      </c>
      <c r="B52" t="s">
        <v>215</v>
      </c>
      <c r="C52" t="s">
        <v>84</v>
      </c>
      <c r="D52">
        <v>247.5</v>
      </c>
      <c r="E52" t="s">
        <v>105</v>
      </c>
      <c r="F52" t="s">
        <v>352</v>
      </c>
    </row>
    <row r="53" spans="1:6">
      <c r="A53" t="s">
        <v>210</v>
      </c>
      <c r="B53" t="s">
        <v>216</v>
      </c>
      <c r="C53" t="s">
        <v>84</v>
      </c>
      <c r="D53">
        <v>239.82749999999999</v>
      </c>
      <c r="E53" t="s">
        <v>105</v>
      </c>
      <c r="F53" t="s">
        <v>352</v>
      </c>
    </row>
    <row r="54" spans="1:6">
      <c r="A54" t="s">
        <v>211</v>
      </c>
      <c r="B54" t="s">
        <v>217</v>
      </c>
      <c r="C54" t="s">
        <v>84</v>
      </c>
      <c r="D54">
        <v>175.72499999999999</v>
      </c>
      <c r="E54" t="s">
        <v>105</v>
      </c>
      <c r="F54" t="s">
        <v>352</v>
      </c>
    </row>
    <row r="55" spans="1:6">
      <c r="A55" t="s">
        <v>212</v>
      </c>
      <c r="B55" t="s">
        <v>218</v>
      </c>
      <c r="C55" t="s">
        <v>84</v>
      </c>
      <c r="D55">
        <v>173.25</v>
      </c>
      <c r="E55" t="s">
        <v>105</v>
      </c>
      <c r="F55" t="s">
        <v>352</v>
      </c>
    </row>
    <row r="56" spans="1:6">
      <c r="A56" t="s">
        <v>179</v>
      </c>
      <c r="B56" t="s">
        <v>219</v>
      </c>
      <c r="C56" t="s">
        <v>84</v>
      </c>
      <c r="D56">
        <v>154.44</v>
      </c>
      <c r="E56" t="s">
        <v>105</v>
      </c>
      <c r="F56" t="s">
        <v>352</v>
      </c>
    </row>
    <row r="57" spans="1:6">
      <c r="A57" t="s">
        <v>155</v>
      </c>
      <c r="B57" t="s">
        <v>220</v>
      </c>
      <c r="C57" t="s">
        <v>84</v>
      </c>
      <c r="D57">
        <v>146.8467</v>
      </c>
      <c r="E57" t="s">
        <v>105</v>
      </c>
      <c r="F57" t="s">
        <v>352</v>
      </c>
    </row>
    <row r="58" spans="1:6">
      <c r="A58" t="s">
        <v>213</v>
      </c>
      <c r="B58" t="s">
        <v>221</v>
      </c>
      <c r="C58" t="s">
        <v>84</v>
      </c>
      <c r="D58">
        <v>141.57</v>
      </c>
      <c r="E58" t="s">
        <v>105</v>
      </c>
      <c r="F58" t="s">
        <v>352</v>
      </c>
    </row>
    <row r="59" spans="1:6">
      <c r="A59" t="s">
        <v>214</v>
      </c>
      <c r="B59" t="s">
        <v>222</v>
      </c>
      <c r="C59" t="s">
        <v>84</v>
      </c>
      <c r="D59">
        <v>141.57</v>
      </c>
      <c r="E59" t="s">
        <v>105</v>
      </c>
      <c r="F59" t="s">
        <v>352</v>
      </c>
    </row>
    <row r="60" spans="1:6">
      <c r="A60" t="s">
        <v>156</v>
      </c>
      <c r="B60" t="s">
        <v>223</v>
      </c>
      <c r="C60" t="s">
        <v>84</v>
      </c>
      <c r="D60">
        <v>68.210999999999999</v>
      </c>
      <c r="E60" t="s">
        <v>105</v>
      </c>
      <c r="F60" t="s">
        <v>352</v>
      </c>
    </row>
    <row r="61" spans="1:6">
      <c r="A61" t="s">
        <v>153</v>
      </c>
      <c r="B61" t="s">
        <v>223</v>
      </c>
      <c r="C61" t="s">
        <v>84</v>
      </c>
      <c r="D61">
        <v>68.210999999999999</v>
      </c>
      <c r="E61" t="s">
        <v>105</v>
      </c>
      <c r="F61" t="s">
        <v>352</v>
      </c>
    </row>
    <row r="62" spans="1:6">
      <c r="A62" t="s">
        <v>188</v>
      </c>
      <c r="B62" t="s">
        <v>201</v>
      </c>
      <c r="C62" t="s">
        <v>235</v>
      </c>
      <c r="D62">
        <v>280</v>
      </c>
      <c r="E62" t="s">
        <v>83</v>
      </c>
      <c r="F62" t="s">
        <v>353</v>
      </c>
    </row>
    <row r="63" spans="1:6">
      <c r="A63" t="s">
        <v>189</v>
      </c>
      <c r="B63" t="s">
        <v>201</v>
      </c>
      <c r="C63" t="s">
        <v>235</v>
      </c>
      <c r="D63">
        <v>280</v>
      </c>
      <c r="E63" t="s">
        <v>83</v>
      </c>
      <c r="F63" t="s">
        <v>353</v>
      </c>
    </row>
    <row r="64" spans="1:6">
      <c r="A64" t="s">
        <v>190</v>
      </c>
      <c r="B64" t="s">
        <v>201</v>
      </c>
      <c r="C64" t="s">
        <v>235</v>
      </c>
      <c r="D64">
        <v>280</v>
      </c>
      <c r="E64" t="s">
        <v>83</v>
      </c>
      <c r="F64" t="s">
        <v>353</v>
      </c>
    </row>
    <row r="65" spans="1:6">
      <c r="A65" t="s">
        <v>191</v>
      </c>
      <c r="B65" t="s">
        <v>201</v>
      </c>
      <c r="C65" t="s">
        <v>235</v>
      </c>
      <c r="D65">
        <v>280</v>
      </c>
      <c r="E65" t="s">
        <v>83</v>
      </c>
      <c r="F65" t="s">
        <v>353</v>
      </c>
    </row>
    <row r="66" spans="1:6">
      <c r="A66" t="s">
        <v>192</v>
      </c>
      <c r="B66" t="s">
        <v>201</v>
      </c>
      <c r="C66" t="s">
        <v>235</v>
      </c>
      <c r="D66">
        <v>280</v>
      </c>
      <c r="E66" t="s">
        <v>83</v>
      </c>
      <c r="F66" t="s">
        <v>353</v>
      </c>
    </row>
    <row r="67" spans="1:6">
      <c r="A67" t="s">
        <v>193</v>
      </c>
      <c r="B67" t="s">
        <v>202</v>
      </c>
      <c r="C67" t="s">
        <v>235</v>
      </c>
      <c r="D67">
        <v>254</v>
      </c>
      <c r="E67" t="s">
        <v>83</v>
      </c>
      <c r="F67" t="s">
        <v>353</v>
      </c>
    </row>
    <row r="68" spans="1:6">
      <c r="A68" t="s">
        <v>194</v>
      </c>
      <c r="B68" t="s">
        <v>202</v>
      </c>
      <c r="C68" t="s">
        <v>235</v>
      </c>
      <c r="D68">
        <v>254</v>
      </c>
      <c r="E68" t="s">
        <v>83</v>
      </c>
      <c r="F68" t="s">
        <v>353</v>
      </c>
    </row>
    <row r="69" spans="1:6">
      <c r="A69" t="s">
        <v>195</v>
      </c>
      <c r="B69" t="s">
        <v>203</v>
      </c>
      <c r="C69" t="s">
        <v>235</v>
      </c>
      <c r="D69">
        <v>229</v>
      </c>
      <c r="E69" t="s">
        <v>83</v>
      </c>
      <c r="F69" t="s">
        <v>353</v>
      </c>
    </row>
    <row r="70" spans="1:6">
      <c r="A70" t="s">
        <v>196</v>
      </c>
      <c r="B70" t="s">
        <v>203</v>
      </c>
      <c r="C70" t="s">
        <v>235</v>
      </c>
      <c r="D70">
        <v>229</v>
      </c>
      <c r="E70" t="s">
        <v>83</v>
      </c>
      <c r="F70" t="s">
        <v>353</v>
      </c>
    </row>
    <row r="71" spans="1:6">
      <c r="A71" t="s">
        <v>132</v>
      </c>
      <c r="B71" t="s">
        <v>203</v>
      </c>
      <c r="C71" t="s">
        <v>235</v>
      </c>
      <c r="D71">
        <v>229</v>
      </c>
      <c r="E71" t="s">
        <v>83</v>
      </c>
      <c r="F71" t="s">
        <v>353</v>
      </c>
    </row>
    <row r="72" spans="1:6">
      <c r="A72" t="s">
        <v>197</v>
      </c>
      <c r="B72" t="s">
        <v>204</v>
      </c>
      <c r="C72" t="s">
        <v>235</v>
      </c>
      <c r="D72">
        <v>208</v>
      </c>
      <c r="E72" t="s">
        <v>83</v>
      </c>
      <c r="F72" t="s">
        <v>353</v>
      </c>
    </row>
    <row r="73" spans="1:6">
      <c r="A73" t="s">
        <v>198</v>
      </c>
      <c r="B73" t="s">
        <v>204</v>
      </c>
      <c r="C73" t="s">
        <v>235</v>
      </c>
      <c r="D73">
        <v>208</v>
      </c>
      <c r="E73" t="s">
        <v>83</v>
      </c>
      <c r="F73" t="s">
        <v>353</v>
      </c>
    </row>
    <row r="74" spans="1:6">
      <c r="A74" t="s">
        <v>133</v>
      </c>
      <c r="B74" t="s">
        <v>205</v>
      </c>
      <c r="C74" t="s">
        <v>235</v>
      </c>
      <c r="D74">
        <v>175</v>
      </c>
      <c r="E74" t="s">
        <v>83</v>
      </c>
      <c r="F74" t="s">
        <v>353</v>
      </c>
    </row>
    <row r="75" spans="1:6" ht="14.25" customHeight="1">
      <c r="A75" t="s">
        <v>134</v>
      </c>
      <c r="B75" t="s">
        <v>205</v>
      </c>
      <c r="C75" t="s">
        <v>235</v>
      </c>
      <c r="D75">
        <v>175</v>
      </c>
      <c r="E75" t="s">
        <v>83</v>
      </c>
      <c r="F75" t="s">
        <v>353</v>
      </c>
    </row>
    <row r="76" spans="1:6">
      <c r="A76" t="s">
        <v>135</v>
      </c>
      <c r="B76" t="s">
        <v>206</v>
      </c>
      <c r="C76" t="s">
        <v>235</v>
      </c>
      <c r="D76">
        <v>140</v>
      </c>
      <c r="E76" t="s">
        <v>83</v>
      </c>
      <c r="F76" t="s">
        <v>353</v>
      </c>
    </row>
    <row r="77" spans="1:6">
      <c r="A77" t="s">
        <v>137</v>
      </c>
      <c r="B77" t="s">
        <v>114</v>
      </c>
      <c r="C77" t="s">
        <v>235</v>
      </c>
      <c r="D77">
        <v>132</v>
      </c>
      <c r="E77" t="s">
        <v>83</v>
      </c>
      <c r="F77" t="s">
        <v>353</v>
      </c>
    </row>
    <row r="78" spans="1:6">
      <c r="A78" t="s">
        <v>199</v>
      </c>
      <c r="B78" t="s">
        <v>207</v>
      </c>
      <c r="C78" t="s">
        <v>235</v>
      </c>
      <c r="D78">
        <v>127</v>
      </c>
      <c r="E78" t="s">
        <v>83</v>
      </c>
      <c r="F78" t="s">
        <v>353</v>
      </c>
    </row>
    <row r="79" spans="1:6">
      <c r="A79" t="s">
        <v>200</v>
      </c>
      <c r="B79" t="s">
        <v>208</v>
      </c>
      <c r="C79" t="s">
        <v>235</v>
      </c>
      <c r="D79">
        <v>111</v>
      </c>
      <c r="E79" t="s">
        <v>83</v>
      </c>
      <c r="F79" t="s">
        <v>353</v>
      </c>
    </row>
    <row r="80" spans="1:6">
      <c r="A80" t="s">
        <v>136</v>
      </c>
      <c r="B80" t="s">
        <v>208</v>
      </c>
      <c r="C80" t="s">
        <v>235</v>
      </c>
      <c r="D80">
        <v>111</v>
      </c>
      <c r="E80" t="s">
        <v>83</v>
      </c>
      <c r="F80" t="s">
        <v>353</v>
      </c>
    </row>
    <row r="81" spans="1:6" ht="14">
      <c r="A81" s="78"/>
      <c r="B81" s="78"/>
      <c r="C81" s="632"/>
      <c r="D81" s="635"/>
      <c r="E81" s="634"/>
      <c r="F81" s="634"/>
    </row>
    <row r="82" spans="1:6" ht="14">
      <c r="A82" s="78"/>
      <c r="B82" s="78"/>
      <c r="C82" s="632"/>
      <c r="D82" s="635"/>
      <c r="E82" s="634"/>
      <c r="F82" s="634"/>
    </row>
    <row r="83" spans="1:6" ht="14">
      <c r="A83" s="78"/>
      <c r="B83" s="78"/>
      <c r="C83" s="632"/>
      <c r="D83" s="635"/>
      <c r="E83" s="634"/>
      <c r="F83" s="634"/>
    </row>
    <row r="84" spans="1:6" ht="14">
      <c r="A84" s="78"/>
      <c r="B84" s="78"/>
      <c r="C84" s="632"/>
      <c r="D84" s="635"/>
      <c r="E84" s="634"/>
      <c r="F84" s="634"/>
    </row>
    <row r="85" spans="1:6" ht="14">
      <c r="A85" s="78"/>
      <c r="B85" s="78"/>
      <c r="C85" s="632"/>
      <c r="D85" s="635"/>
      <c r="E85" s="634"/>
      <c r="F85" s="634"/>
    </row>
    <row r="86" spans="1:6" ht="14">
      <c r="A86" s="78"/>
      <c r="B86" s="78"/>
      <c r="C86" s="632"/>
      <c r="D86" s="635"/>
      <c r="E86" s="634"/>
      <c r="F86" s="634"/>
    </row>
    <row r="87" spans="1:6" ht="14">
      <c r="A87" s="78"/>
      <c r="B87" s="78"/>
      <c r="C87" s="632"/>
      <c r="D87" s="635"/>
      <c r="E87" s="634"/>
      <c r="F87" s="634"/>
    </row>
    <row r="88" spans="1:6" ht="14">
      <c r="A88" s="78"/>
      <c r="B88" s="78"/>
      <c r="C88" s="632"/>
      <c r="D88" s="635"/>
      <c r="E88" s="634"/>
      <c r="F88" s="634"/>
    </row>
    <row r="89" spans="1:6" ht="14">
      <c r="A89" s="78"/>
      <c r="B89" s="78"/>
      <c r="C89" s="632"/>
      <c r="D89" s="635"/>
      <c r="E89" s="634"/>
      <c r="F89" s="634"/>
    </row>
    <row r="90" spans="1:6" ht="14">
      <c r="A90" s="78"/>
      <c r="B90" s="78"/>
      <c r="C90" s="632"/>
      <c r="D90" s="635"/>
      <c r="E90" s="634"/>
      <c r="F90" s="634"/>
    </row>
    <row r="91" spans="1:6" ht="14">
      <c r="A91" s="78"/>
      <c r="B91" s="78"/>
      <c r="C91" s="632"/>
      <c r="D91" s="635"/>
      <c r="E91" s="634"/>
      <c r="F91" s="634"/>
    </row>
    <row r="92" spans="1:6" ht="14">
      <c r="A92" s="78"/>
      <c r="B92" s="78"/>
      <c r="C92" s="632"/>
      <c r="D92" s="635"/>
      <c r="E92" s="634"/>
      <c r="F92" s="634"/>
    </row>
    <row r="93" spans="1:6" ht="14">
      <c r="A93" s="78"/>
      <c r="B93" s="78"/>
      <c r="C93" s="632"/>
      <c r="D93" s="635"/>
      <c r="E93" s="634"/>
      <c r="F93" s="634"/>
    </row>
    <row r="94" spans="1:6" ht="14">
      <c r="A94" s="78"/>
      <c r="B94" s="78"/>
      <c r="C94" s="632"/>
      <c r="D94" s="635"/>
      <c r="E94" s="634"/>
      <c r="F94" s="634"/>
    </row>
    <row r="95" spans="1:6" ht="14">
      <c r="A95" s="78"/>
      <c r="B95" s="78"/>
      <c r="C95" s="632"/>
      <c r="D95" s="635"/>
      <c r="E95" s="634"/>
      <c r="F95" s="634"/>
    </row>
    <row r="96" spans="1:6" ht="14">
      <c r="A96" s="78"/>
      <c r="B96" s="78"/>
      <c r="C96" s="632"/>
      <c r="D96" s="635"/>
      <c r="E96" s="634"/>
      <c r="F96" s="634"/>
    </row>
    <row r="97" spans="1:6" ht="14">
      <c r="A97" s="78"/>
      <c r="B97" s="78"/>
      <c r="C97" s="632"/>
      <c r="D97" s="635"/>
      <c r="E97" s="634"/>
      <c r="F97" s="634"/>
    </row>
    <row r="98" spans="1:6" ht="14">
      <c r="A98" s="78"/>
      <c r="B98" s="78"/>
      <c r="C98" s="632"/>
      <c r="D98" s="635"/>
      <c r="E98" s="634"/>
      <c r="F98" s="634"/>
    </row>
    <row r="99" spans="1:6" ht="14">
      <c r="A99" s="78"/>
      <c r="B99" s="78"/>
      <c r="C99" s="632"/>
      <c r="D99" s="635"/>
      <c r="E99" s="634"/>
      <c r="F99" s="634"/>
    </row>
    <row r="100" spans="1:6" ht="14">
      <c r="A100" s="78"/>
      <c r="B100" s="78"/>
      <c r="C100" s="632"/>
      <c r="D100" s="635"/>
      <c r="E100" s="634"/>
      <c r="F100" s="634"/>
    </row>
    <row r="101" spans="1:6" ht="14">
      <c r="A101" s="78"/>
      <c r="B101" s="78"/>
      <c r="C101" s="632"/>
      <c r="D101" s="635"/>
      <c r="E101" s="634"/>
      <c r="F101" s="634"/>
    </row>
    <row r="102" spans="1:6" ht="14">
      <c r="A102" s="78"/>
      <c r="B102" s="78"/>
      <c r="C102" s="632"/>
      <c r="D102" s="635"/>
      <c r="E102" s="634"/>
      <c r="F102" s="634"/>
    </row>
    <row r="103" spans="1:6" ht="14">
      <c r="A103" s="78"/>
      <c r="B103" s="78"/>
      <c r="C103" s="632"/>
      <c r="D103" s="635"/>
      <c r="E103" s="634"/>
      <c r="F103" s="634"/>
    </row>
    <row r="104" spans="1:6" ht="14">
      <c r="A104" s="78"/>
      <c r="B104" s="78"/>
      <c r="C104" s="632"/>
      <c r="D104" s="635"/>
      <c r="E104" s="634"/>
      <c r="F104" s="634"/>
    </row>
    <row r="105" spans="1:6" ht="14">
      <c r="A105" s="78"/>
      <c r="B105" s="78"/>
      <c r="C105" s="632"/>
      <c r="D105" s="635"/>
      <c r="E105" s="634"/>
      <c r="F105" s="634"/>
    </row>
    <row r="106" spans="1:6" ht="14">
      <c r="A106" s="78"/>
      <c r="B106" s="78"/>
      <c r="C106" s="632"/>
      <c r="D106" s="635"/>
      <c r="E106" s="634"/>
      <c r="F106" s="634"/>
    </row>
    <row r="107" spans="1:6" ht="14">
      <c r="A107" s="78"/>
      <c r="B107" s="78"/>
      <c r="C107" s="632"/>
      <c r="D107" s="635"/>
      <c r="E107" s="634"/>
      <c r="F107" s="634"/>
    </row>
    <row r="108" spans="1:6" ht="14">
      <c r="A108" s="78"/>
      <c r="B108" s="78"/>
      <c r="C108" s="632"/>
      <c r="D108" s="635"/>
      <c r="E108" s="634"/>
      <c r="F108" s="634"/>
    </row>
    <row r="109" spans="1:6" ht="14">
      <c r="A109" s="78"/>
      <c r="B109" s="78"/>
      <c r="C109" s="632"/>
      <c r="D109" s="635"/>
      <c r="E109" s="634"/>
      <c r="F109" s="634"/>
    </row>
    <row r="110" spans="1:6" ht="14">
      <c r="A110" s="78"/>
      <c r="B110" s="78"/>
      <c r="C110" s="632"/>
      <c r="D110" s="635"/>
      <c r="E110" s="634"/>
      <c r="F110" s="634"/>
    </row>
    <row r="111" spans="1:6" ht="14">
      <c r="A111" s="78"/>
      <c r="B111" s="78"/>
      <c r="C111" s="632"/>
      <c r="D111" s="635"/>
      <c r="E111" s="634"/>
      <c r="F111" s="634"/>
    </row>
    <row r="112" spans="1:6" ht="14">
      <c r="A112" s="78"/>
      <c r="B112" s="78"/>
      <c r="C112" s="632"/>
      <c r="D112" s="635"/>
      <c r="E112" s="634"/>
      <c r="F112" s="634"/>
    </row>
    <row r="113" spans="1:6" ht="14">
      <c r="A113" s="78"/>
      <c r="B113" s="78"/>
      <c r="C113" s="632"/>
      <c r="D113" s="635"/>
      <c r="E113" s="634"/>
      <c r="F113" s="634"/>
    </row>
    <row r="114" spans="1:6" ht="14">
      <c r="A114" s="78"/>
      <c r="B114" s="78"/>
      <c r="C114" s="632"/>
      <c r="D114" s="635"/>
      <c r="E114" s="634"/>
      <c r="F114" s="634"/>
    </row>
    <row r="115" spans="1:6" ht="14">
      <c r="A115" s="78"/>
      <c r="B115" s="78"/>
      <c r="C115" s="632"/>
      <c r="D115" s="635"/>
      <c r="E115" s="634"/>
      <c r="F115" s="634"/>
    </row>
    <row r="116" spans="1:6" ht="14">
      <c r="A116" s="78"/>
      <c r="B116" s="78"/>
      <c r="C116" s="632"/>
      <c r="D116" s="635"/>
      <c r="E116" s="634"/>
      <c r="F116" s="634"/>
    </row>
    <row r="117" spans="1:6" ht="14">
      <c r="A117" s="78"/>
      <c r="B117" s="78"/>
      <c r="C117" s="632"/>
      <c r="D117" s="635"/>
      <c r="E117" s="634"/>
      <c r="F117" s="634"/>
    </row>
    <row r="118" spans="1:6" ht="14">
      <c r="A118" s="78"/>
      <c r="B118" s="78"/>
      <c r="C118" s="632"/>
      <c r="D118" s="635"/>
      <c r="E118" s="634"/>
      <c r="F118" s="634"/>
    </row>
    <row r="119" spans="1:6" ht="14">
      <c r="A119" s="78"/>
      <c r="B119" s="78"/>
      <c r="C119" s="632"/>
      <c r="D119" s="635"/>
      <c r="E119" s="634"/>
      <c r="F119" s="634"/>
    </row>
    <row r="120" spans="1:6" ht="14">
      <c r="A120" s="78"/>
      <c r="B120" s="78"/>
      <c r="C120" s="632"/>
      <c r="D120" s="635"/>
      <c r="E120" s="634"/>
      <c r="F120" s="634"/>
    </row>
    <row r="121" spans="1:6" ht="14">
      <c r="A121" s="78"/>
      <c r="B121" s="78"/>
      <c r="C121" s="632"/>
      <c r="D121" s="635"/>
      <c r="E121" s="634"/>
      <c r="F121" s="634"/>
    </row>
    <row r="122" spans="1:6" ht="14">
      <c r="A122" s="78"/>
      <c r="B122" s="78"/>
      <c r="C122" s="632"/>
      <c r="D122" s="635"/>
      <c r="E122" s="634"/>
      <c r="F122" s="634"/>
    </row>
    <row r="123" spans="1:6" ht="14">
      <c r="A123" s="78"/>
      <c r="B123" s="78"/>
      <c r="C123" s="632"/>
      <c r="D123" s="635"/>
      <c r="E123" s="634"/>
      <c r="F123" s="634"/>
    </row>
    <row r="124" spans="1:6" ht="14">
      <c r="A124" s="78"/>
      <c r="B124" s="78"/>
      <c r="C124" s="632"/>
      <c r="D124" s="635"/>
      <c r="E124" s="634"/>
      <c r="F124" s="634"/>
    </row>
    <row r="211" ht="15.75" customHeight="1"/>
  </sheetData>
  <sortState ref="H9:I27">
    <sortCondition ref="H9:H27"/>
  </sortState>
  <pageMargins left="0.7" right="0.7" top="0.75" bottom="0.75" header="0.3" footer="0.3"/>
  <pageSetup scale="52" fitToHeight="0"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43"/>
  <sheetViews>
    <sheetView workbookViewId="0">
      <selection activeCell="B12" sqref="B12"/>
    </sheetView>
  </sheetViews>
  <sheetFormatPr baseColWidth="10" defaultColWidth="8.6640625" defaultRowHeight="14"/>
  <cols>
    <col min="1" max="1" width="26.6640625" style="16" customWidth="1"/>
    <col min="2" max="2" width="16.6640625" style="16" customWidth="1"/>
    <col min="3" max="3" width="16.6640625" style="17" customWidth="1"/>
    <col min="4" max="4" width="16.6640625" style="16" customWidth="1"/>
    <col min="5" max="5" width="16.6640625" style="39" customWidth="1"/>
    <col min="6" max="16384" width="8.6640625" style="16"/>
  </cols>
  <sheetData>
    <row r="1" spans="1:12" ht="20">
      <c r="B1" s="359" t="str">
        <f>'Task Order Setup'!C1</f>
        <v>Task Order No. 1 Mod 0: General Consulting Services</v>
      </c>
      <c r="C1" s="353"/>
      <c r="D1" s="353"/>
      <c r="E1" s="353"/>
    </row>
    <row r="2" spans="1:12" ht="19">
      <c r="B2" s="355" t="str">
        <f>'Task Order Setup'!C2</f>
        <v>Agreement No. 47557A, Project No. 600</v>
      </c>
      <c r="C2" s="354"/>
      <c r="D2" s="354"/>
      <c r="E2" s="354"/>
    </row>
    <row r="3" spans="1:12" ht="19">
      <c r="B3" s="358" t="str">
        <f>'Task Order Setup'!C3</f>
        <v>Effective Period: 10/01/19-10/31/19</v>
      </c>
      <c r="C3" s="354"/>
      <c r="D3" s="354"/>
      <c r="E3" s="354"/>
    </row>
    <row r="4" spans="1:12" ht="19">
      <c r="A4" s="356"/>
      <c r="B4" s="336"/>
      <c r="C4" s="336"/>
      <c r="D4" s="336"/>
      <c r="E4" s="336"/>
      <c r="I4" s="334"/>
    </row>
    <row r="5" spans="1:12" ht="19">
      <c r="A5" s="365" t="s">
        <v>244</v>
      </c>
      <c r="C5" s="365">
        <v>2019</v>
      </c>
      <c r="D5" s="18"/>
      <c r="E5" s="19"/>
      <c r="F5" s="18"/>
      <c r="G5" s="18"/>
      <c r="H5" s="18"/>
      <c r="I5" s="18"/>
      <c r="J5" s="18"/>
      <c r="K5" s="18"/>
    </row>
    <row r="6" spans="1:12" ht="15" customHeight="1">
      <c r="A6" s="365"/>
      <c r="D6" s="18"/>
      <c r="E6" s="19"/>
      <c r="F6" s="18"/>
      <c r="G6" s="18"/>
      <c r="H6" s="18"/>
      <c r="I6" s="18"/>
      <c r="J6" s="18"/>
      <c r="K6" s="18"/>
    </row>
    <row r="7" spans="1:12" ht="16" customHeight="1">
      <c r="A7" s="366" t="s">
        <v>59</v>
      </c>
      <c r="B7" s="367">
        <v>0.57999999999999996</v>
      </c>
      <c r="C7" s="16"/>
      <c r="D7" s="20"/>
      <c r="E7" s="19"/>
      <c r="F7" s="18"/>
      <c r="G7" s="18"/>
      <c r="H7" s="18"/>
      <c r="I7" s="18"/>
      <c r="J7" s="18"/>
      <c r="K7" s="18"/>
    </row>
    <row r="8" spans="1:12" ht="15" thickBot="1">
      <c r="B8" s="597"/>
      <c r="D8" s="18"/>
      <c r="E8" s="19"/>
      <c r="F8" s="18"/>
      <c r="G8" s="18"/>
      <c r="H8" s="18"/>
      <c r="I8" s="18"/>
      <c r="J8" s="18"/>
      <c r="K8" s="18"/>
    </row>
    <row r="9" spans="1:12" ht="15" thickTop="1">
      <c r="A9" s="601"/>
      <c r="B9" s="598"/>
      <c r="C9" s="593" t="s">
        <v>90</v>
      </c>
      <c r="D9" s="588" t="s">
        <v>14</v>
      </c>
      <c r="E9" s="583" t="s">
        <v>90</v>
      </c>
      <c r="F9" s="18"/>
      <c r="G9" s="18"/>
      <c r="H9" s="18"/>
      <c r="I9" s="18"/>
      <c r="J9" s="18"/>
      <c r="K9" s="18"/>
    </row>
    <row r="10" spans="1:12" ht="15" thickBot="1">
      <c r="A10" s="602" t="s">
        <v>91</v>
      </c>
      <c r="B10" s="589" t="s">
        <v>92</v>
      </c>
      <c r="C10" s="594" t="s">
        <v>62</v>
      </c>
      <c r="D10" s="589" t="s">
        <v>46</v>
      </c>
      <c r="E10" s="584" t="s">
        <v>93</v>
      </c>
      <c r="F10" s="18"/>
      <c r="G10" s="18"/>
      <c r="H10" s="18"/>
      <c r="I10" s="18"/>
      <c r="J10" s="18"/>
      <c r="K10" s="18"/>
    </row>
    <row r="11" spans="1:12" ht="6" customHeight="1" thickTop="1">
      <c r="A11" s="603"/>
      <c r="B11" s="590"/>
      <c r="C11" s="595"/>
      <c r="D11" s="590"/>
      <c r="E11" s="585"/>
      <c r="F11" s="18"/>
      <c r="G11" s="18"/>
      <c r="H11" s="18"/>
      <c r="I11" s="18"/>
      <c r="J11" s="18"/>
      <c r="K11" s="18"/>
    </row>
    <row r="12" spans="1:12" ht="15">
      <c r="A12" s="604" t="s">
        <v>100</v>
      </c>
      <c r="B12" s="599">
        <v>0</v>
      </c>
      <c r="C12" s="591">
        <v>170</v>
      </c>
      <c r="D12" s="591">
        <v>180</v>
      </c>
      <c r="E12" s="586">
        <v>66</v>
      </c>
      <c r="F12" s="23"/>
      <c r="G12" s="24"/>
      <c r="H12" s="24"/>
      <c r="I12" s="24"/>
    </row>
    <row r="13" spans="1:12" ht="15">
      <c r="A13" s="604" t="s">
        <v>94</v>
      </c>
      <c r="B13" s="599">
        <v>650</v>
      </c>
      <c r="C13" s="591">
        <v>170</v>
      </c>
      <c r="D13" s="591">
        <v>180</v>
      </c>
      <c r="E13" s="586">
        <v>66</v>
      </c>
      <c r="F13" s="23"/>
      <c r="G13" s="23"/>
      <c r="H13" s="24"/>
      <c r="I13" s="24"/>
      <c r="J13" s="24"/>
      <c r="K13" s="24"/>
    </row>
    <row r="14" spans="1:12" ht="15">
      <c r="A14" s="604" t="s">
        <v>95</v>
      </c>
      <c r="B14" s="599">
        <v>650</v>
      </c>
      <c r="C14" s="591">
        <v>170</v>
      </c>
      <c r="D14" s="591">
        <v>180</v>
      </c>
      <c r="E14" s="586">
        <v>66</v>
      </c>
      <c r="F14" s="18"/>
      <c r="G14" s="18"/>
      <c r="H14" s="18"/>
      <c r="I14" s="18"/>
      <c r="J14" s="18"/>
      <c r="K14" s="18"/>
    </row>
    <row r="15" spans="1:12" ht="15">
      <c r="A15" s="604" t="s">
        <v>96</v>
      </c>
      <c r="B15" s="599">
        <v>475</v>
      </c>
      <c r="C15" s="591">
        <v>170</v>
      </c>
      <c r="D15" s="591">
        <v>180</v>
      </c>
      <c r="E15" s="586">
        <v>66</v>
      </c>
      <c r="F15" s="18"/>
      <c r="G15" s="18"/>
      <c r="H15" s="18"/>
      <c r="I15" s="18"/>
      <c r="J15" s="18"/>
      <c r="K15" s="18"/>
    </row>
    <row r="16" spans="1:12" ht="15">
      <c r="A16" s="604" t="s">
        <v>97</v>
      </c>
      <c r="B16" s="599">
        <v>350</v>
      </c>
      <c r="C16" s="591">
        <v>170</v>
      </c>
      <c r="D16" s="591">
        <v>180</v>
      </c>
      <c r="E16" s="586">
        <v>66</v>
      </c>
      <c r="F16" s="26"/>
      <c r="G16" s="27"/>
      <c r="H16" s="24"/>
      <c r="I16" s="24"/>
      <c r="J16" s="24"/>
      <c r="K16" s="24"/>
      <c r="L16" s="28"/>
    </row>
    <row r="17" spans="1:13" ht="15">
      <c r="A17" s="604" t="s">
        <v>98</v>
      </c>
      <c r="B17" s="599">
        <v>0</v>
      </c>
      <c r="C17" s="591">
        <v>170</v>
      </c>
      <c r="D17" s="591">
        <v>180</v>
      </c>
      <c r="E17" s="586">
        <v>66</v>
      </c>
      <c r="F17" s="23"/>
      <c r="G17" s="24"/>
      <c r="H17" s="24"/>
      <c r="I17" s="24"/>
    </row>
    <row r="18" spans="1:13" ht="15" thickBot="1">
      <c r="A18" s="605"/>
      <c r="B18" s="600"/>
      <c r="C18" s="596"/>
      <c r="D18" s="592"/>
      <c r="E18" s="587"/>
      <c r="F18" s="18"/>
      <c r="G18" s="18"/>
      <c r="H18" s="18"/>
      <c r="I18" s="18"/>
      <c r="J18" s="18"/>
      <c r="K18" s="18"/>
    </row>
    <row r="19" spans="1:13" ht="15" thickTop="1">
      <c r="A19" s="21"/>
      <c r="B19" s="29"/>
      <c r="C19" s="22"/>
      <c r="D19" s="30"/>
      <c r="E19" s="30"/>
      <c r="F19" s="18"/>
      <c r="G19" s="18"/>
      <c r="H19" s="18"/>
      <c r="I19" s="18"/>
      <c r="J19" s="18"/>
      <c r="K19" s="18"/>
    </row>
    <row r="20" spans="1:13">
      <c r="A20" s="21"/>
      <c r="B20" s="29"/>
      <c r="C20" s="25"/>
      <c r="D20" s="30"/>
      <c r="E20" s="30"/>
      <c r="F20" s="26"/>
      <c r="G20" s="27"/>
      <c r="H20" s="24"/>
      <c r="I20" s="24"/>
      <c r="J20" s="24"/>
      <c r="K20" s="24"/>
    </row>
    <row r="21" spans="1:13">
      <c r="A21" s="21"/>
      <c r="B21" s="29"/>
      <c r="C21" s="25"/>
      <c r="D21" s="30"/>
      <c r="E21" s="30"/>
      <c r="F21" s="23"/>
      <c r="G21" s="23"/>
      <c r="H21" s="24"/>
      <c r="I21" s="24"/>
      <c r="J21" s="24"/>
      <c r="K21" s="24"/>
    </row>
    <row r="22" spans="1:13">
      <c r="A22" s="21"/>
      <c r="B22" s="29"/>
      <c r="C22" s="22"/>
      <c r="D22" s="30"/>
      <c r="E22" s="30"/>
      <c r="F22" s="26"/>
      <c r="G22" s="27"/>
      <c r="H22" s="24"/>
      <c r="I22" s="24"/>
      <c r="J22" s="24"/>
      <c r="K22" s="24"/>
    </row>
    <row r="23" spans="1:13">
      <c r="A23" s="21"/>
      <c r="B23" s="21"/>
      <c r="C23" s="31"/>
      <c r="D23" s="30"/>
      <c r="E23" s="30"/>
    </row>
    <row r="24" spans="1:13">
      <c r="A24" s="21"/>
      <c r="B24" s="21"/>
      <c r="C24" s="31"/>
      <c r="D24" s="30"/>
      <c r="E24" s="30"/>
      <c r="F24" s="18"/>
      <c r="G24" s="18"/>
      <c r="H24" s="18"/>
      <c r="I24" s="18"/>
      <c r="J24" s="18"/>
      <c r="K24" s="18"/>
    </row>
    <row r="25" spans="1:13">
      <c r="A25" s="21"/>
      <c r="B25" s="21"/>
      <c r="C25" s="31"/>
      <c r="D25" s="30"/>
      <c r="E25" s="30"/>
      <c r="F25" s="18"/>
      <c r="G25" s="18"/>
      <c r="H25" s="18"/>
      <c r="I25" s="18"/>
      <c r="J25" s="18"/>
      <c r="K25" s="18"/>
    </row>
    <row r="26" spans="1:13">
      <c r="A26" s="21"/>
      <c r="B26" s="21"/>
      <c r="C26" s="32"/>
      <c r="D26" s="30"/>
      <c r="E26" s="30"/>
      <c r="J26" s="18"/>
      <c r="K26" s="18"/>
      <c r="L26" s="18"/>
      <c r="M26" s="18"/>
    </row>
    <row r="27" spans="1:13">
      <c r="A27" s="21"/>
      <c r="B27" s="21"/>
      <c r="C27" s="32"/>
      <c r="D27" s="30"/>
      <c r="E27" s="33"/>
      <c r="F27" s="18"/>
      <c r="G27" s="18"/>
      <c r="H27" s="18"/>
      <c r="I27" s="18"/>
      <c r="J27" s="18"/>
      <c r="K27" s="18"/>
      <c r="L27" s="18"/>
      <c r="M27" s="18"/>
    </row>
    <row r="28" spans="1:13">
      <c r="A28" s="21"/>
      <c r="B28" s="21"/>
      <c r="C28" s="31"/>
      <c r="D28" s="30"/>
      <c r="E28" s="33"/>
      <c r="F28" s="18"/>
      <c r="G28" s="18"/>
      <c r="H28" s="18"/>
      <c r="I28" s="18"/>
      <c r="J28" s="18"/>
      <c r="K28" s="18"/>
      <c r="L28" s="18"/>
      <c r="M28" s="18"/>
    </row>
    <row r="29" spans="1:13">
      <c r="A29" s="21"/>
      <c r="B29" s="21"/>
      <c r="C29" s="31"/>
      <c r="D29" s="30"/>
      <c r="E29" s="33"/>
      <c r="F29" s="18"/>
      <c r="G29" s="18"/>
      <c r="H29" s="18"/>
      <c r="I29" s="18"/>
      <c r="J29" s="18"/>
      <c r="K29" s="18"/>
      <c r="L29" s="18"/>
      <c r="M29" s="18"/>
    </row>
    <row r="30" spans="1:13">
      <c r="A30" s="21"/>
      <c r="B30" s="21"/>
      <c r="C30" s="31"/>
      <c r="D30" s="30"/>
      <c r="E30" s="33"/>
      <c r="F30" s="18"/>
      <c r="G30" s="18"/>
      <c r="H30" s="18"/>
      <c r="I30" s="18"/>
      <c r="J30" s="18"/>
      <c r="K30" s="18"/>
      <c r="L30" s="18"/>
      <c r="M30" s="18"/>
    </row>
    <row r="31" spans="1:13">
      <c r="A31" s="21"/>
      <c r="B31" s="21"/>
      <c r="C31" s="31"/>
      <c r="D31" s="30"/>
      <c r="E31" s="33"/>
      <c r="F31" s="34"/>
      <c r="G31" s="34"/>
      <c r="H31" s="34"/>
      <c r="I31" s="18"/>
      <c r="J31" s="18"/>
      <c r="K31" s="18"/>
      <c r="L31" s="18"/>
      <c r="M31" s="18"/>
    </row>
    <row r="32" spans="1:13">
      <c r="A32" s="21"/>
      <c r="B32" s="21"/>
      <c r="C32" s="31"/>
      <c r="D32" s="30"/>
      <c r="E32" s="33"/>
      <c r="F32" s="35"/>
      <c r="G32" s="36"/>
      <c r="H32" s="37"/>
      <c r="I32" s="18"/>
      <c r="J32" s="18"/>
      <c r="K32" s="18"/>
      <c r="L32" s="18"/>
      <c r="M32" s="18"/>
    </row>
    <row r="33" spans="1:13">
      <c r="A33" s="21"/>
      <c r="B33" s="21"/>
      <c r="C33" s="32"/>
      <c r="D33" s="30"/>
      <c r="E33" s="33"/>
      <c r="F33" s="35"/>
      <c r="G33" s="36"/>
      <c r="H33" s="37"/>
      <c r="I33" s="18"/>
      <c r="J33" s="18"/>
      <c r="K33" s="18"/>
      <c r="L33" s="18"/>
      <c r="M33" s="18"/>
    </row>
    <row r="34" spans="1:13">
      <c r="A34" s="21"/>
      <c r="B34" s="21"/>
      <c r="C34" s="31"/>
      <c r="D34" s="30"/>
      <c r="E34" s="33"/>
      <c r="F34" s="35"/>
      <c r="G34" s="36"/>
      <c r="H34" s="37"/>
      <c r="I34" s="18"/>
      <c r="J34" s="18"/>
      <c r="K34" s="18"/>
      <c r="L34" s="18"/>
      <c r="M34" s="18"/>
    </row>
    <row r="35" spans="1:13">
      <c r="A35" s="21"/>
      <c r="B35" s="21"/>
      <c r="C35" s="31"/>
      <c r="D35" s="30"/>
      <c r="E35" s="33"/>
      <c r="F35" s="35"/>
      <c r="G35" s="36"/>
      <c r="H35" s="37"/>
      <c r="I35" s="18"/>
      <c r="J35" s="24"/>
      <c r="K35" s="24"/>
      <c r="L35" s="24"/>
      <c r="M35" s="24"/>
    </row>
    <row r="36" spans="1:13">
      <c r="A36" s="21"/>
      <c r="B36" s="21"/>
      <c r="C36" s="32"/>
      <c r="D36" s="30"/>
      <c r="E36" s="33"/>
      <c r="F36" s="36"/>
      <c r="G36" s="36"/>
      <c r="H36" s="37"/>
      <c r="I36" s="18"/>
      <c r="J36" s="24"/>
      <c r="K36" s="24"/>
      <c r="L36" s="24"/>
      <c r="M36" s="24"/>
    </row>
    <row r="37" spans="1:13">
      <c r="A37" s="21"/>
      <c r="B37" s="21"/>
      <c r="C37" s="31"/>
      <c r="D37" s="30"/>
      <c r="E37" s="33"/>
      <c r="I37" s="18"/>
      <c r="J37" s="24"/>
      <c r="K37" s="24"/>
      <c r="L37" s="24"/>
      <c r="M37" s="24"/>
    </row>
    <row r="38" spans="1:13">
      <c r="A38" s="21"/>
      <c r="B38" s="21"/>
      <c r="C38" s="31"/>
      <c r="D38" s="30"/>
      <c r="E38" s="33"/>
      <c r="F38" s="23"/>
      <c r="G38" s="23"/>
      <c r="H38" s="23"/>
      <c r="I38" s="23"/>
      <c r="J38" s="24"/>
      <c r="K38" s="24"/>
      <c r="L38" s="24"/>
      <c r="M38" s="24"/>
    </row>
    <row r="39" spans="1:13">
      <c r="A39" s="21"/>
      <c r="B39" s="21"/>
      <c r="C39" s="32"/>
      <c r="D39" s="30"/>
      <c r="E39" s="33"/>
      <c r="F39" s="26"/>
      <c r="G39" s="26"/>
      <c r="H39" s="38"/>
      <c r="I39" s="27"/>
      <c r="J39" s="24"/>
      <c r="K39" s="24"/>
      <c r="L39" s="24"/>
      <c r="M39" s="24"/>
    </row>
    <row r="40" spans="1:13">
      <c r="A40" s="21"/>
      <c r="B40" s="21"/>
      <c r="C40" s="31"/>
      <c r="D40" s="30"/>
      <c r="E40" s="33"/>
    </row>
    <row r="41" spans="1:13">
      <c r="A41" s="21"/>
      <c r="B41" s="21"/>
      <c r="C41" s="32"/>
      <c r="D41" s="30"/>
    </row>
    <row r="42" spans="1:13" ht="15" thickBot="1">
      <c r="A42" s="40"/>
      <c r="B42" s="40"/>
      <c r="C42" s="41"/>
      <c r="D42" s="41"/>
      <c r="E42" s="41"/>
    </row>
    <row r="43" spans="1:13" ht="15" thickTop="1"/>
  </sheetData>
  <pageMargins left="0.7" right="0.7" top="0.75" bottom="0.75" header="0.3" footer="0.3"/>
  <pageSetup orientation="portrait" horizontalDpi="1200" verticalDpi="120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32</vt:i4>
      </vt:variant>
    </vt:vector>
  </HeadingPairs>
  <TitlesOfParts>
    <vt:vector size="40" baseType="lpstr">
      <vt:lpstr>Task Order Setup</vt:lpstr>
      <vt:lpstr>Labor Hours and Deliverables</vt:lpstr>
      <vt:lpstr>Labor Costs</vt:lpstr>
      <vt:lpstr>Travel</vt:lpstr>
      <vt:lpstr>Expenses</vt:lpstr>
      <vt:lpstr>Task Order Cost Summary</vt:lpstr>
      <vt:lpstr>Rates</vt:lpstr>
      <vt:lpstr>Travel Rates</vt:lpstr>
      <vt:lpstr>AirSciences</vt:lpstr>
      <vt:lpstr>AmyCoulterLLC</vt:lpstr>
      <vt:lpstr>AnnSihler</vt:lpstr>
      <vt:lpstr>AnnSihlerCo.</vt:lpstr>
      <vt:lpstr>AnnSihlerLLC</vt:lpstr>
      <vt:lpstr>Bridgewater</vt:lpstr>
      <vt:lpstr>CH2M</vt:lpstr>
      <vt:lpstr>Company</vt:lpstr>
      <vt:lpstr>Cordoba</vt:lpstr>
      <vt:lpstr>FarWestern</vt:lpstr>
      <vt:lpstr>GSI</vt:lpstr>
      <vt:lpstr>KenneyGeoscience</vt:lpstr>
      <vt:lpstr>LandIQ</vt:lpstr>
      <vt:lpstr>M2Resources</vt:lpstr>
      <vt:lpstr>NicklingEnvironmental</vt:lpstr>
      <vt:lpstr>NUVIS</vt:lpstr>
      <vt:lpstr>Origination</vt:lpstr>
      <vt:lpstr>Expenses!Print_Area</vt:lpstr>
      <vt:lpstr>'Labor Costs'!Print_Area</vt:lpstr>
      <vt:lpstr>'Labor Hours and Deliverables'!Print_Area</vt:lpstr>
      <vt:lpstr>'Task Order Cost Summary'!Print_Area</vt:lpstr>
      <vt:lpstr>'Task Order Setup'!Print_Area</vt:lpstr>
      <vt:lpstr>Travel!Print_Area</vt:lpstr>
      <vt:lpstr>'Labor Hours and Deliverables'!Print_Titles</vt:lpstr>
      <vt:lpstr>Rates!Print_Titles</vt:lpstr>
      <vt:lpstr>Provenience</vt:lpstr>
      <vt:lpstr>Towill</vt:lpstr>
      <vt:lpstr>UnivOfCalifornia</vt:lpstr>
      <vt:lpstr>UnivOfUtah</vt:lpstr>
      <vt:lpstr>Unspecified</vt:lpstr>
      <vt:lpstr>Yellobee</vt:lpstr>
      <vt:lpstr>ZephyrUSA</vt:lpstr>
    </vt:vector>
  </TitlesOfParts>
  <Company>Air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Schaaf</dc:creator>
  <cp:lastModifiedBy>John Bannister</cp:lastModifiedBy>
  <cp:lastPrinted>2019-09-12T17:39:31Z</cp:lastPrinted>
  <dcterms:created xsi:type="dcterms:W3CDTF">2007-01-03T20:45:01Z</dcterms:created>
  <dcterms:modified xsi:type="dcterms:W3CDTF">2019-09-20T22:57:14Z</dcterms:modified>
</cp:coreProperties>
</file>